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9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8.bin" ContentType="application/vnd.ms-office.activeX"/>
  <Override PartName="/xl/activeX/activeX11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Pusdik-KP\TA. 2021\Project\appBKU\"/>
    </mc:Choice>
  </mc:AlternateContent>
  <xr:revisionPtr revIDLastSave="0" documentId="13_ncr:1_{2C2E3758-08AE-481A-9C20-22F636FD268F}" xr6:coauthVersionLast="46" xr6:coauthVersionMax="46" xr10:uidLastSave="{00000000-0000-0000-0000-000000000000}"/>
  <bookViews>
    <workbookView xWindow="-120" yWindow="-120" windowWidth="24240" windowHeight="13140" tabRatio="881" xr2:uid="{2BF2EA47-5AED-4077-828A-31F8D2ECDF2E}"/>
  </bookViews>
  <sheets>
    <sheet name="Setting Aplikasi" sheetId="14" r:id="rId1"/>
    <sheet name="Transaksi GUP" sheetId="2" r:id="rId2"/>
    <sheet name="Cetak_KWT" sheetId="12" r:id="rId3"/>
    <sheet name="Cetak_KWT_DETIL" sheetId="13" state="hidden" r:id="rId4"/>
    <sheet name="Cetak_SPBY" sheetId="11" r:id="rId5"/>
    <sheet name="Kuitansi" sheetId="3" state="hidden" r:id="rId6"/>
    <sheet name="Detil Kuitansi" sheetId="5" state="hidden" r:id="rId7"/>
    <sheet name="Barang" sheetId="6" r:id="rId8"/>
    <sheet name="Supplier" sheetId="8" r:id="rId9"/>
    <sheet name="Database" sheetId="1" r:id="rId10"/>
  </sheets>
  <functionGroups builtInGroupCount="19"/>
  <definedNames>
    <definedName name="_xlnm._FilterDatabase" localSheetId="9" hidden="1">Database!$B$14:$J$889</definedName>
    <definedName name="Akun_Belanja">'Transaksi GUP'!$D$8</definedName>
    <definedName name="AKUN_RKAKL">Database!$C$9</definedName>
    <definedName name="Bendahara">Cetak_KWT!$O$44</definedName>
    <definedName name="BOWO" localSheetId="1">'Transaksi GUP'!$M$36</definedName>
    <definedName name="direktur">Cetak_KWT!$O$32</definedName>
    <definedName name="Harga_Brg">'Transaksi GUP'!$G$32</definedName>
    <definedName name="Hsat_Brg">'Transaksi GUP'!$D$32</definedName>
    <definedName name="jml_itemBrg">'Transaksi GUP'!$D$34</definedName>
    <definedName name="jml_KWT">Cetak_KWT!$I$17</definedName>
    <definedName name="kd_ketAkun">Database!$M$8</definedName>
    <definedName name="kd_ketDetil">Database!$M$9</definedName>
    <definedName name="kd_ketKgt">Database!$M$3</definedName>
    <definedName name="kd_ketKmpnen">Database!$M$6</definedName>
    <definedName name="kd_ketOutput">Database!$M$4</definedName>
    <definedName name="kd_ketSkmpnen">Database!$M$7</definedName>
    <definedName name="kd_ketSoutput">Database!$M$5</definedName>
    <definedName name="Keperluan_Belanja">'Transaksi GUP'!$D$18</definedName>
    <definedName name="Ket_Akun_Belanja">'Transaksi GUP'!$D$10</definedName>
    <definedName name="ketAkun">Database!$N$8</definedName>
    <definedName name="ketDetil">Database!$N$9</definedName>
    <definedName name="ketKgt">Database!$N$3</definedName>
    <definedName name="ketKmpnen">Database!$N$6</definedName>
    <definedName name="ketOutput">Database!$N$4</definedName>
    <definedName name="ketSkmpnen">Database!$N$7</definedName>
    <definedName name="ketSoutput">Database!$N$5</definedName>
    <definedName name="Kgt_Belanja">'Transaksi GUP'!$D$12</definedName>
    <definedName name="Kode_Satker">Cetak_KWT!$H$14</definedName>
    <definedName name="kota_KWT">Cetak_KWT!$O$26</definedName>
    <definedName name="KPA_PPK">Cetak_KWT!$H$12</definedName>
    <definedName name="MAK">Cetak_KWT!$O$5</definedName>
    <definedName name="NIP_BP">Cetak_KWT!$O$45</definedName>
    <definedName name="NIP_Pemeriksa">Cetak_KWT!$E$56</definedName>
    <definedName name="NIP_PPK">Cetak_KWT!$E$45</definedName>
    <definedName name="Nm_Brg">'Transaksi GUP'!$D$28</definedName>
    <definedName name="No_Bukti">Cetak_KWT!$O$4</definedName>
    <definedName name="no_KWT">'Transaksi GUP'!$D$4</definedName>
    <definedName name="no_Kwt_Akhir">Kuitansi!$B$2</definedName>
    <definedName name="Pagu_KWT">'Transaksi GUP'!$H$21</definedName>
    <definedName name="Pagu_RKAKL">Database!$H$8</definedName>
    <definedName name="Pemeriksa">Cetak_KWT!$E$55</definedName>
    <definedName name="Pencarian">Database!$F$4</definedName>
    <definedName name="persen_PPh21">'Transaksi GUP'!$G$12</definedName>
    <definedName name="persen_PPh22">'Transaksi GUP'!$G$14</definedName>
    <definedName name="persen_PPh23">'Transaksi GUP'!$G$16</definedName>
    <definedName name="persen_PPh24">'Transaksi GUP'!$G$18</definedName>
    <definedName name="persen_PPn">'Transaksi GUP'!$G$10</definedName>
    <definedName name="perusahaan">'Transaksi GUP'!$D$16</definedName>
    <definedName name="perusahaan_KWT">Cetak_KWT!$O$27</definedName>
    <definedName name="PPK">Cetak_KWT!$E$44</definedName>
    <definedName name="_xlnm.Print_Area" localSheetId="2">Cetak_KWT!$A$1:$R$58</definedName>
    <definedName name="_xlnm.Print_Area" localSheetId="3">Cetak_KWT_DETIL!$A$1:$R$58</definedName>
    <definedName name="_xlnm.Print_Area" localSheetId="4">Cetak_SPBY!$A$1:$R$58</definedName>
    <definedName name="_xlnm.Print_Area" localSheetId="9">Database!$A$1:$J$889</definedName>
    <definedName name="Real_KWT">'Transaksi GUP'!$H$23</definedName>
    <definedName name="Real_Pagu">'Transaksi GUP'!$H$22</definedName>
    <definedName name="Real_RKAKL">Database!$H$9</definedName>
    <definedName name="rpPPh21">'Transaksi GUP'!$H$12</definedName>
    <definedName name="rpPPh22">'Transaksi GUP'!$H$14</definedName>
    <definedName name="rpPPh23">'Transaksi GUP'!$H$16</definedName>
    <definedName name="rpPPh24">'Transaksi GUP'!$H$18</definedName>
    <definedName name="rpPPn">'Transaksi GUP'!$H$10</definedName>
    <definedName name="rpSPBY">Cetak_SPBY!$E$11</definedName>
    <definedName name="Sat_Brg">'Transaksi GUP'!$G$30</definedName>
    <definedName name="Satker">Cetak_KWT!$H$13</definedName>
    <definedName name="Sisa">'Transaksi GUP'!$H$24</definedName>
    <definedName name="Sisa_RKAKL">Database!$H$10</definedName>
    <definedName name="start_KWT">Kuitansi!$A$4</definedName>
    <definedName name="start_KwtDetil">'Detil Kuitansi'!$A$4</definedName>
    <definedName name="start_RKAKL">Database!$B$15</definedName>
    <definedName name="Start_Transaksi">'Transaksi GUP'!$C$36</definedName>
    <definedName name="supplier_spby">Cetak_SPBY!$H$16</definedName>
    <definedName name="TA">Cetak_KWT!$O$3</definedName>
    <definedName name="terbilang">Cetak_KWT!$H$18</definedName>
    <definedName name="terbilang_SPBY">Cetak_SPBY!$E$13</definedName>
    <definedName name="Tgl_KWT">'Transaksi GUP'!$D$6</definedName>
    <definedName name="tgl_Lunas">Cetak_KWT!$Q$36</definedName>
    <definedName name="tgl_terima_KWT">Cetak_KWT!$P$26</definedName>
    <definedName name="Tot_Kwt">'Transaksi GUP'!$H$4</definedName>
    <definedName name="Uraian">'Transaksi GUP'!$D$21</definedName>
    <definedName name="uraian_KWT" localSheetId="2">Cetak_KWT!$H$20</definedName>
    <definedName name="uraian_SPby">Cetak_SPBY!$H$17</definedName>
    <definedName name="Vol_Brg">'Transaksi GUP'!$D$30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89" i="1" l="1"/>
  <c r="G872" i="1"/>
  <c r="G871" i="1" s="1"/>
  <c r="G870" i="1" s="1"/>
  <c r="G873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22" i="1"/>
  <c r="G21" i="1" s="1"/>
  <c r="G20" i="1" s="1"/>
  <c r="G26" i="1"/>
  <c r="G27" i="1"/>
  <c r="G28" i="1"/>
  <c r="G34" i="1"/>
  <c r="G35" i="1"/>
  <c r="G33" i="1" s="1"/>
  <c r="G37" i="1"/>
  <c r="G39" i="1"/>
  <c r="G40" i="1"/>
  <c r="G42" i="1"/>
  <c r="G44" i="1"/>
  <c r="G45" i="1"/>
  <c r="G47" i="1"/>
  <c r="G48" i="1"/>
  <c r="G49" i="1"/>
  <c r="G52" i="1"/>
  <c r="G53" i="1"/>
  <c r="G55" i="1"/>
  <c r="G57" i="1"/>
  <c r="G58" i="1"/>
  <c r="G60" i="1"/>
  <c r="G62" i="1"/>
  <c r="G61" i="1" s="1"/>
  <c r="G65" i="1"/>
  <c r="G66" i="1"/>
  <c r="G68" i="1"/>
  <c r="G70" i="1"/>
  <c r="G69" i="1" s="1"/>
  <c r="G71" i="1"/>
  <c r="G73" i="1"/>
  <c r="G75" i="1"/>
  <c r="G77" i="1"/>
  <c r="G78" i="1"/>
  <c r="G79" i="1"/>
  <c r="G82" i="1"/>
  <c r="G83" i="1"/>
  <c r="G81" i="1" s="1"/>
  <c r="G85" i="1"/>
  <c r="G86" i="1"/>
  <c r="G88" i="1"/>
  <c r="G90" i="1"/>
  <c r="G92" i="1"/>
  <c r="G93" i="1"/>
  <c r="G94" i="1"/>
  <c r="G91" i="1" s="1"/>
  <c r="G100" i="1"/>
  <c r="G101" i="1"/>
  <c r="G102" i="1"/>
  <c r="G104" i="1"/>
  <c r="G105" i="1"/>
  <c r="G106" i="1"/>
  <c r="G108" i="1"/>
  <c r="G110" i="1"/>
  <c r="G112" i="1"/>
  <c r="G111" i="1" s="1"/>
  <c r="G113" i="1"/>
  <c r="G114" i="1"/>
  <c r="G118" i="1"/>
  <c r="G119" i="1"/>
  <c r="G120" i="1"/>
  <c r="G121" i="1"/>
  <c r="G122" i="1"/>
  <c r="G123" i="1"/>
  <c r="G125" i="1"/>
  <c r="G127" i="1"/>
  <c r="G130" i="1"/>
  <c r="G131" i="1"/>
  <c r="G132" i="1"/>
  <c r="G135" i="1"/>
  <c r="G136" i="1"/>
  <c r="G137" i="1"/>
  <c r="G134" i="1" s="1"/>
  <c r="G138" i="1"/>
  <c r="G140" i="1"/>
  <c r="G141" i="1"/>
  <c r="G143" i="1"/>
  <c r="G142" i="1" s="1"/>
  <c r="G145" i="1"/>
  <c r="G147" i="1"/>
  <c r="G148" i="1"/>
  <c r="G149" i="1"/>
  <c r="G146" i="1" s="1"/>
  <c r="G152" i="1"/>
  <c r="G153" i="1"/>
  <c r="G154" i="1"/>
  <c r="G155" i="1"/>
  <c r="G157" i="1"/>
  <c r="G159" i="1"/>
  <c r="G161" i="1"/>
  <c r="G162" i="1"/>
  <c r="G160" i="1" s="1"/>
  <c r="G163" i="1"/>
  <c r="G166" i="1"/>
  <c r="G167" i="1"/>
  <c r="G168" i="1"/>
  <c r="G165" i="1" s="1"/>
  <c r="G170" i="1"/>
  <c r="G172" i="1"/>
  <c r="G173" i="1"/>
  <c r="G175" i="1"/>
  <c r="G174" i="1" s="1"/>
  <c r="G177" i="1"/>
  <c r="G179" i="1"/>
  <c r="G182" i="1"/>
  <c r="G183" i="1"/>
  <c r="G180" i="1" s="1"/>
  <c r="G184" i="1"/>
  <c r="G187" i="1"/>
  <c r="G188" i="1"/>
  <c r="G190" i="1"/>
  <c r="G191" i="1"/>
  <c r="G193" i="1"/>
  <c r="G195" i="1"/>
  <c r="G197" i="1"/>
  <c r="G196" i="1" s="1"/>
  <c r="G200" i="1"/>
  <c r="G201" i="1"/>
  <c r="G202" i="1"/>
  <c r="G205" i="1"/>
  <c r="G204" i="1" s="1"/>
  <c r="G206" i="1"/>
  <c r="G208" i="1"/>
  <c r="G209" i="1"/>
  <c r="G211" i="1"/>
  <c r="G213" i="1"/>
  <c r="G212" i="1" s="1"/>
  <c r="G215" i="1"/>
  <c r="G218" i="1"/>
  <c r="G219" i="1"/>
  <c r="G216" i="1" s="1"/>
  <c r="G220" i="1"/>
  <c r="G223" i="1"/>
  <c r="G224" i="1"/>
  <c r="G225" i="1"/>
  <c r="G226" i="1"/>
  <c r="G228" i="1"/>
  <c r="G227" i="1" s="1"/>
  <c r="G230" i="1"/>
  <c r="G232" i="1"/>
  <c r="G235" i="1"/>
  <c r="G236" i="1"/>
  <c r="G237" i="1"/>
  <c r="G240" i="1"/>
  <c r="G241" i="1"/>
  <c r="G242" i="1"/>
  <c r="G243" i="1"/>
  <c r="G245" i="1"/>
  <c r="G244" i="1" s="1"/>
  <c r="G247" i="1"/>
  <c r="G249" i="1"/>
  <c r="G252" i="1"/>
  <c r="G253" i="1"/>
  <c r="G254" i="1"/>
  <c r="G258" i="1"/>
  <c r="G259" i="1"/>
  <c r="G260" i="1"/>
  <c r="G257" i="1" s="1"/>
  <c r="G261" i="1"/>
  <c r="G263" i="1"/>
  <c r="G265" i="1"/>
  <c r="G267" i="1"/>
  <c r="G266" i="1" s="1"/>
  <c r="G270" i="1"/>
  <c r="G271" i="1"/>
  <c r="G272" i="1"/>
  <c r="G275" i="1"/>
  <c r="G274" i="1" s="1"/>
  <c r="G276" i="1"/>
  <c r="G277" i="1"/>
  <c r="G278" i="1"/>
  <c r="G280" i="1"/>
  <c r="G279" i="1" s="1"/>
  <c r="G281" i="1"/>
  <c r="G282" i="1"/>
  <c r="G285" i="1"/>
  <c r="G286" i="1"/>
  <c r="G287" i="1"/>
  <c r="G288" i="1"/>
  <c r="G289" i="1"/>
  <c r="G291" i="1"/>
  <c r="G290" i="1" s="1"/>
  <c r="G293" i="1"/>
  <c r="G294" i="1"/>
  <c r="G295" i="1"/>
  <c r="G298" i="1"/>
  <c r="G297" i="1" s="1"/>
  <c r="G299" i="1"/>
  <c r="G300" i="1"/>
  <c r="G301" i="1"/>
  <c r="G302" i="1"/>
  <c r="G304" i="1"/>
  <c r="G306" i="1"/>
  <c r="G307" i="1"/>
  <c r="G308" i="1"/>
  <c r="G305" i="1" s="1"/>
  <c r="G311" i="1"/>
  <c r="G312" i="1"/>
  <c r="G313" i="1"/>
  <c r="G314" i="1"/>
  <c r="G315" i="1"/>
  <c r="G317" i="1"/>
  <c r="G318" i="1"/>
  <c r="G319" i="1"/>
  <c r="G322" i="1"/>
  <c r="G323" i="1"/>
  <c r="G324" i="1"/>
  <c r="G325" i="1"/>
  <c r="G326" i="1"/>
  <c r="G328" i="1"/>
  <c r="G330" i="1"/>
  <c r="G332" i="1"/>
  <c r="G331" i="1" s="1"/>
  <c r="G335" i="1"/>
  <c r="G336" i="1"/>
  <c r="G337" i="1"/>
  <c r="G340" i="1"/>
  <c r="G341" i="1"/>
  <c r="G342" i="1"/>
  <c r="G343" i="1"/>
  <c r="G344" i="1"/>
  <c r="G346" i="1"/>
  <c r="G348" i="1"/>
  <c r="G350" i="1"/>
  <c r="G352" i="1"/>
  <c r="G355" i="1"/>
  <c r="G356" i="1"/>
  <c r="G357" i="1"/>
  <c r="G360" i="1"/>
  <c r="G359" i="1" s="1"/>
  <c r="G361" i="1"/>
  <c r="G362" i="1"/>
  <c r="G363" i="1"/>
  <c r="G364" i="1"/>
  <c r="G366" i="1"/>
  <c r="G368" i="1"/>
  <c r="G370" i="1"/>
  <c r="G372" i="1"/>
  <c r="G371" i="1" s="1"/>
  <c r="G375" i="1"/>
  <c r="G376" i="1"/>
  <c r="G377" i="1"/>
  <c r="G383" i="1"/>
  <c r="G382" i="1" s="1"/>
  <c r="G384" i="1"/>
  <c r="G385" i="1"/>
  <c r="G386" i="1"/>
  <c r="G388" i="1"/>
  <c r="G387" i="1" s="1"/>
  <c r="G389" i="1"/>
  <c r="G391" i="1"/>
  <c r="G393" i="1"/>
  <c r="G395" i="1"/>
  <c r="G394" i="1" s="1"/>
  <c r="G396" i="1"/>
  <c r="G397" i="1"/>
  <c r="G399" i="1"/>
  <c r="G400" i="1"/>
  <c r="G398" i="1" s="1"/>
  <c r="G401" i="1"/>
  <c r="G402" i="1"/>
  <c r="G403" i="1"/>
  <c r="G404" i="1"/>
  <c r="G407" i="1"/>
  <c r="G408" i="1"/>
  <c r="G409" i="1"/>
  <c r="G411" i="1"/>
  <c r="G410" i="1" s="1"/>
  <c r="G412" i="1"/>
  <c r="G414" i="1"/>
  <c r="G416" i="1"/>
  <c r="G418" i="1"/>
  <c r="G417" i="1" s="1"/>
  <c r="G420" i="1"/>
  <c r="G421" i="1"/>
  <c r="G422" i="1"/>
  <c r="G425" i="1"/>
  <c r="G426" i="1"/>
  <c r="G427" i="1"/>
  <c r="G428" i="1"/>
  <c r="G429" i="1"/>
  <c r="G430" i="1"/>
  <c r="G432" i="1"/>
  <c r="G434" i="1"/>
  <c r="G436" i="1"/>
  <c r="G435" i="1" s="1"/>
  <c r="G438" i="1"/>
  <c r="G439" i="1"/>
  <c r="G440" i="1"/>
  <c r="G442" i="1"/>
  <c r="G443" i="1"/>
  <c r="G444" i="1"/>
  <c r="G445" i="1"/>
  <c r="G446" i="1"/>
  <c r="G447" i="1"/>
  <c r="G451" i="1"/>
  <c r="G452" i="1"/>
  <c r="G453" i="1"/>
  <c r="G450" i="1" s="1"/>
  <c r="G454" i="1"/>
  <c r="G455" i="1"/>
  <c r="G457" i="1"/>
  <c r="G459" i="1"/>
  <c r="G458" i="1" s="1"/>
  <c r="G461" i="1"/>
  <c r="G464" i="1"/>
  <c r="G465" i="1"/>
  <c r="G466" i="1"/>
  <c r="G463" i="1" s="1"/>
  <c r="G462" i="1" s="1"/>
  <c r="G469" i="1"/>
  <c r="G470" i="1"/>
  <c r="G471" i="1"/>
  <c r="G472" i="1"/>
  <c r="G473" i="1"/>
  <c r="G475" i="1"/>
  <c r="G477" i="1"/>
  <c r="G479" i="1"/>
  <c r="G478" i="1" s="1"/>
  <c r="G481" i="1"/>
  <c r="G484" i="1"/>
  <c r="G485" i="1"/>
  <c r="G486" i="1"/>
  <c r="G489" i="1"/>
  <c r="G490" i="1"/>
  <c r="G491" i="1"/>
  <c r="G492" i="1"/>
  <c r="G493" i="1"/>
  <c r="G495" i="1"/>
  <c r="G498" i="1"/>
  <c r="G499" i="1"/>
  <c r="G496" i="1" s="1"/>
  <c r="G500" i="1"/>
  <c r="G503" i="1"/>
  <c r="G504" i="1"/>
  <c r="G505" i="1"/>
  <c r="G506" i="1"/>
  <c r="G507" i="1"/>
  <c r="G509" i="1"/>
  <c r="G511" i="1"/>
  <c r="G510" i="1" s="1"/>
  <c r="G514" i="1"/>
  <c r="G515" i="1"/>
  <c r="G516" i="1"/>
  <c r="G520" i="1"/>
  <c r="G519" i="1" s="1"/>
  <c r="G521" i="1"/>
  <c r="G522" i="1"/>
  <c r="G524" i="1"/>
  <c r="G525" i="1"/>
  <c r="G523" i="1" s="1"/>
  <c r="G527" i="1"/>
  <c r="G529" i="1"/>
  <c r="G531" i="1"/>
  <c r="G530" i="1" s="1"/>
  <c r="G534" i="1"/>
  <c r="G533" i="1" s="1"/>
  <c r="G532" i="1" s="1"/>
  <c r="G535" i="1"/>
  <c r="G536" i="1"/>
  <c r="G539" i="1"/>
  <c r="G540" i="1"/>
  <c r="G541" i="1"/>
  <c r="G542" i="1"/>
  <c r="G544" i="1"/>
  <c r="G546" i="1"/>
  <c r="G545" i="1" s="1"/>
  <c r="G549" i="1"/>
  <c r="G550" i="1"/>
  <c r="G551" i="1"/>
  <c r="G554" i="1"/>
  <c r="G553" i="1" s="1"/>
  <c r="G555" i="1"/>
  <c r="G557" i="1"/>
  <c r="G556" i="1" s="1"/>
  <c r="G558" i="1"/>
  <c r="G560" i="1"/>
  <c r="G559" i="1" s="1"/>
  <c r="G562" i="1"/>
  <c r="G565" i="1"/>
  <c r="G566" i="1"/>
  <c r="G567" i="1"/>
  <c r="G570" i="1"/>
  <c r="G571" i="1"/>
  <c r="G573" i="1"/>
  <c r="G574" i="1"/>
  <c r="G572" i="1" s="1"/>
  <c r="G576" i="1"/>
  <c r="G578" i="1"/>
  <c r="G580" i="1"/>
  <c r="G583" i="1"/>
  <c r="G582" i="1" s="1"/>
  <c r="G581" i="1" s="1"/>
  <c r="G584" i="1"/>
  <c r="G585" i="1"/>
  <c r="G588" i="1"/>
  <c r="G589" i="1"/>
  <c r="G590" i="1"/>
  <c r="G592" i="1"/>
  <c r="G593" i="1"/>
  <c r="G595" i="1"/>
  <c r="G594" i="1" s="1"/>
  <c r="G597" i="1"/>
  <c r="G599" i="1"/>
  <c r="G602" i="1"/>
  <c r="G603" i="1"/>
  <c r="G604" i="1"/>
  <c r="G607" i="1"/>
  <c r="G608" i="1"/>
  <c r="G610" i="1"/>
  <c r="G609" i="1" s="1"/>
  <c r="G611" i="1"/>
  <c r="G613" i="1"/>
  <c r="G615" i="1"/>
  <c r="G617" i="1"/>
  <c r="G616" i="1" s="1"/>
  <c r="G620" i="1"/>
  <c r="G621" i="1"/>
  <c r="G622" i="1"/>
  <c r="G626" i="1"/>
  <c r="G625" i="1" s="1"/>
  <c r="G627" i="1"/>
  <c r="G628" i="1"/>
  <c r="G629" i="1"/>
  <c r="G631" i="1"/>
  <c r="G633" i="1"/>
  <c r="G635" i="1"/>
  <c r="G638" i="1"/>
  <c r="G639" i="1"/>
  <c r="G637" i="1" s="1"/>
  <c r="G636" i="1" s="1"/>
  <c r="G640" i="1"/>
  <c r="G644" i="1"/>
  <c r="G645" i="1"/>
  <c r="G647" i="1"/>
  <c r="G648" i="1"/>
  <c r="G650" i="1"/>
  <c r="G649" i="1" s="1"/>
  <c r="G652" i="1"/>
  <c r="G653" i="1"/>
  <c r="G651" i="1" s="1"/>
  <c r="G654" i="1"/>
  <c r="G655" i="1"/>
  <c r="G657" i="1"/>
  <c r="G659" i="1"/>
  <c r="G660" i="1"/>
  <c r="G661" i="1"/>
  <c r="G664" i="1"/>
  <c r="G665" i="1"/>
  <c r="G663" i="1" s="1"/>
  <c r="G666" i="1"/>
  <c r="G667" i="1"/>
  <c r="G669" i="1"/>
  <c r="G671" i="1"/>
  <c r="G670" i="1" s="1"/>
  <c r="G673" i="1"/>
  <c r="G675" i="1"/>
  <c r="G677" i="1"/>
  <c r="G680" i="1"/>
  <c r="G681" i="1"/>
  <c r="G682" i="1"/>
  <c r="G685" i="1"/>
  <c r="G686" i="1"/>
  <c r="G684" i="1" s="1"/>
  <c r="G683" i="1" s="1"/>
  <c r="G687" i="1"/>
  <c r="G690" i="1"/>
  <c r="G691" i="1"/>
  <c r="G692" i="1"/>
  <c r="G693" i="1"/>
  <c r="G695" i="1"/>
  <c r="G697" i="1"/>
  <c r="G698" i="1"/>
  <c r="G696" i="1" s="1"/>
  <c r="G700" i="1"/>
  <c r="G703" i="1"/>
  <c r="G704" i="1"/>
  <c r="G705" i="1"/>
  <c r="G708" i="1"/>
  <c r="G709" i="1"/>
  <c r="G710" i="1"/>
  <c r="G711" i="1"/>
  <c r="G713" i="1"/>
  <c r="G715" i="1"/>
  <c r="G716" i="1"/>
  <c r="G717" i="1"/>
  <c r="G714" i="1" s="1"/>
  <c r="G719" i="1"/>
  <c r="G722" i="1"/>
  <c r="G723" i="1"/>
  <c r="G724" i="1"/>
  <c r="G727" i="1"/>
  <c r="G728" i="1"/>
  <c r="G729" i="1"/>
  <c r="G731" i="1"/>
  <c r="G730" i="1" s="1"/>
  <c r="G733" i="1"/>
  <c r="G734" i="1"/>
  <c r="G736" i="1"/>
  <c r="G738" i="1"/>
  <c r="G740" i="1"/>
  <c r="G743" i="1"/>
  <c r="G744" i="1"/>
  <c r="G745" i="1"/>
  <c r="G741" i="1" s="1"/>
  <c r="G748" i="1"/>
  <c r="G749" i="1"/>
  <c r="G751" i="1"/>
  <c r="G752" i="1"/>
  <c r="G754" i="1"/>
  <c r="G756" i="1"/>
  <c r="G758" i="1"/>
  <c r="G761" i="1"/>
  <c r="G762" i="1"/>
  <c r="G763" i="1"/>
  <c r="G766" i="1"/>
  <c r="G767" i="1"/>
  <c r="G768" i="1"/>
  <c r="G770" i="1"/>
  <c r="G771" i="1"/>
  <c r="G773" i="1"/>
  <c r="G772" i="1" s="1"/>
  <c r="G775" i="1"/>
  <c r="G777" i="1"/>
  <c r="G776" i="1" s="1"/>
  <c r="G779" i="1"/>
  <c r="G780" i="1"/>
  <c r="G781" i="1"/>
  <c r="G787" i="1"/>
  <c r="G786" i="1" s="1"/>
  <c r="G788" i="1"/>
  <c r="G789" i="1"/>
  <c r="G791" i="1"/>
  <c r="G792" i="1"/>
  <c r="G793" i="1"/>
  <c r="G795" i="1"/>
  <c r="G796" i="1"/>
  <c r="G797" i="1"/>
  <c r="G799" i="1"/>
  <c r="G800" i="1"/>
  <c r="G798" i="1" s="1"/>
  <c r="G801" i="1"/>
  <c r="G803" i="1"/>
  <c r="G804" i="1"/>
  <c r="G805" i="1"/>
  <c r="G807" i="1"/>
  <c r="G808" i="1"/>
  <c r="G809" i="1"/>
  <c r="G811" i="1"/>
  <c r="G812" i="1"/>
  <c r="G813" i="1"/>
  <c r="G815" i="1"/>
  <c r="G817" i="1"/>
  <c r="G816" i="1" s="1"/>
  <c r="G819" i="1"/>
  <c r="G820" i="1"/>
  <c r="G818" i="1" s="1"/>
  <c r="G821" i="1"/>
  <c r="G824" i="1"/>
  <c r="G825" i="1"/>
  <c r="G826" i="1"/>
  <c r="G830" i="1"/>
  <c r="G831" i="1"/>
  <c r="G832" i="1"/>
  <c r="G833" i="1"/>
  <c r="G835" i="1"/>
  <c r="G837" i="1"/>
  <c r="G836" i="1" s="1"/>
  <c r="G839" i="1"/>
  <c r="G840" i="1"/>
  <c r="G841" i="1"/>
  <c r="G842" i="1"/>
  <c r="G843" i="1"/>
  <c r="G844" i="1"/>
  <c r="G845" i="1"/>
  <c r="G846" i="1"/>
  <c r="G847" i="1"/>
  <c r="G848" i="1"/>
  <c r="G851" i="1"/>
  <c r="G853" i="1"/>
  <c r="G854" i="1"/>
  <c r="G857" i="1"/>
  <c r="G856" i="1" s="1"/>
  <c r="G858" i="1"/>
  <c r="G859" i="1"/>
  <c r="G860" i="1"/>
  <c r="G861" i="1"/>
  <c r="G862" i="1"/>
  <c r="G863" i="1"/>
  <c r="G864" i="1"/>
  <c r="G865" i="1"/>
  <c r="G866" i="1"/>
  <c r="G868" i="1"/>
  <c r="G867" i="1" s="1"/>
  <c r="G59" i="1"/>
  <c r="G178" i="1"/>
  <c r="G194" i="1"/>
  <c r="G198" i="1"/>
  <c r="G494" i="1"/>
  <c r="G689" i="1"/>
  <c r="G56" i="1"/>
  <c r="G310" i="1"/>
  <c r="G327" i="1"/>
  <c r="M894" i="1"/>
  <c r="M889" i="1"/>
  <c r="G25" i="1"/>
  <c r="G24" i="1" s="1"/>
  <c r="G23" i="1" s="1"/>
  <c r="G36" i="1"/>
  <c r="G38" i="1"/>
  <c r="G41" i="1"/>
  <c r="G43" i="1"/>
  <c r="G46" i="1"/>
  <c r="G51" i="1"/>
  <c r="G54" i="1"/>
  <c r="G64" i="1"/>
  <c r="G67" i="1"/>
  <c r="G72" i="1"/>
  <c r="G74" i="1"/>
  <c r="G76" i="1"/>
  <c r="G84" i="1"/>
  <c r="G87" i="1"/>
  <c r="G89" i="1"/>
  <c r="G107" i="1"/>
  <c r="G109" i="1"/>
  <c r="G124" i="1"/>
  <c r="G126" i="1"/>
  <c r="G128" i="1"/>
  <c r="G139" i="1"/>
  <c r="G144" i="1"/>
  <c r="G156" i="1"/>
  <c r="G158" i="1"/>
  <c r="G169" i="1"/>
  <c r="G171" i="1"/>
  <c r="G176" i="1"/>
  <c r="G186" i="1"/>
  <c r="G189" i="1"/>
  <c r="G192" i="1"/>
  <c r="G210" i="1"/>
  <c r="G214" i="1"/>
  <c r="G229" i="1"/>
  <c r="G231" i="1"/>
  <c r="G233" i="1"/>
  <c r="G246" i="1"/>
  <c r="G248" i="1"/>
  <c r="G262" i="1"/>
  <c r="G264" i="1"/>
  <c r="G269" i="1"/>
  <c r="G268" i="1" s="1"/>
  <c r="G292" i="1"/>
  <c r="G303" i="1"/>
  <c r="G316" i="1"/>
  <c r="G329" i="1"/>
  <c r="G334" i="1"/>
  <c r="G333" i="1" s="1"/>
  <c r="G339" i="1"/>
  <c r="G345" i="1"/>
  <c r="G347" i="1"/>
  <c r="G349" i="1"/>
  <c r="G351" i="1"/>
  <c r="G365" i="1"/>
  <c r="G367" i="1"/>
  <c r="G369" i="1"/>
  <c r="G374" i="1"/>
  <c r="G373" i="1" s="1"/>
  <c r="G390" i="1"/>
  <c r="G392" i="1"/>
  <c r="G406" i="1"/>
  <c r="G413" i="1"/>
  <c r="G415" i="1"/>
  <c r="G419" i="1"/>
  <c r="G431" i="1"/>
  <c r="G433" i="1"/>
  <c r="G437" i="1"/>
  <c r="G456" i="1"/>
  <c r="G460" i="1"/>
  <c r="G474" i="1"/>
  <c r="G476" i="1"/>
  <c r="G480" i="1"/>
  <c r="G488" i="1"/>
  <c r="G508" i="1"/>
  <c r="G512" i="1"/>
  <c r="G526" i="1"/>
  <c r="G528" i="1"/>
  <c r="G543" i="1"/>
  <c r="G548" i="1"/>
  <c r="G547" i="1" s="1"/>
  <c r="G561" i="1"/>
  <c r="G564" i="1"/>
  <c r="G563" i="1" s="1"/>
  <c r="G569" i="1"/>
  <c r="G575" i="1"/>
  <c r="G577" i="1"/>
  <c r="G579" i="1"/>
  <c r="G591" i="1"/>
  <c r="G596" i="1"/>
  <c r="G598" i="1"/>
  <c r="G612" i="1"/>
  <c r="G614" i="1"/>
  <c r="G619" i="1"/>
  <c r="G618" i="1" s="1"/>
  <c r="G630" i="1"/>
  <c r="G632" i="1"/>
  <c r="G634" i="1"/>
  <c r="G643" i="1"/>
  <c r="G656" i="1"/>
  <c r="G668" i="1"/>
  <c r="G672" i="1"/>
  <c r="G674" i="1"/>
  <c r="G676" i="1"/>
  <c r="G694" i="1"/>
  <c r="G699" i="1"/>
  <c r="G712" i="1"/>
  <c r="G718" i="1"/>
  <c r="G721" i="1"/>
  <c r="G720" i="1" s="1"/>
  <c r="G732" i="1"/>
  <c r="G735" i="1"/>
  <c r="G737" i="1"/>
  <c r="G739" i="1"/>
  <c r="G747" i="1"/>
  <c r="G750" i="1"/>
  <c r="G753" i="1"/>
  <c r="G755" i="1"/>
  <c r="G757" i="1"/>
  <c r="G759" i="1"/>
  <c r="G774" i="1"/>
  <c r="G778" i="1"/>
  <c r="G790" i="1"/>
  <c r="G810" i="1"/>
  <c r="G814" i="1"/>
  <c r="G823" i="1"/>
  <c r="G822" i="1" s="1"/>
  <c r="G834" i="1"/>
  <c r="G850" i="1"/>
  <c r="G852" i="1"/>
  <c r="G99" i="1" l="1"/>
  <c r="G802" i="1"/>
  <c r="G806" i="1"/>
  <c r="G874" i="1"/>
  <c r="G869" i="1" s="1"/>
  <c r="G321" i="1"/>
  <c r="G441" i="1"/>
  <c r="G587" i="1"/>
  <c r="G207" i="1"/>
  <c r="G203" i="1" s="1"/>
  <c r="G222" i="1"/>
  <c r="G309" i="1"/>
  <c r="G354" i="1"/>
  <c r="G353" i="1" s="1"/>
  <c r="G482" i="1"/>
  <c r="G679" i="1"/>
  <c r="G678" i="1" s="1"/>
  <c r="G726" i="1"/>
  <c r="G725" i="1" s="1"/>
  <c r="G855" i="1"/>
  <c r="G19" i="1"/>
  <c r="G18" i="1" s="1"/>
  <c r="G17" i="1" s="1"/>
  <c r="G63" i="1"/>
  <c r="G98" i="1"/>
  <c r="G133" i="1"/>
  <c r="G164" i="1"/>
  <c r="G256" i="1"/>
  <c r="G273" i="1"/>
  <c r="G296" i="1"/>
  <c r="G381" i="1"/>
  <c r="G405" i="1"/>
  <c r="G449" i="1"/>
  <c r="G552" i="1"/>
  <c r="G568" i="1"/>
  <c r="G601" i="1"/>
  <c r="G600" i="1" s="1"/>
  <c r="G586" i="1" s="1"/>
  <c r="G707" i="1"/>
  <c r="G706" i="1" s="1"/>
  <c r="G794" i="1"/>
  <c r="G849" i="1"/>
  <c r="G624" i="1"/>
  <c r="G623" i="1" s="1"/>
  <c r="G320" i="1"/>
  <c r="G765" i="1"/>
  <c r="G764" i="1" s="1"/>
  <c r="G702" i="1"/>
  <c r="G701" i="1" s="1"/>
  <c r="G688" i="1" s="1"/>
  <c r="G658" i="1"/>
  <c r="G538" i="1"/>
  <c r="G537" i="1" s="1"/>
  <c r="G502" i="1"/>
  <c r="G501" i="1" s="1"/>
  <c r="G468" i="1"/>
  <c r="G251" i="1"/>
  <c r="G250" i="1" s="1"/>
  <c r="G239" i="1"/>
  <c r="G151" i="1"/>
  <c r="G150" i="1" s="1"/>
  <c r="G838" i="1"/>
  <c r="G358" i="1"/>
  <c r="G221" i="1"/>
  <c r="G80" i="1"/>
  <c r="G746" i="1"/>
  <c r="G662" i="1"/>
  <c r="G518" i="1"/>
  <c r="G185" i="1"/>
  <c r="G117" i="1"/>
  <c r="G116" i="1" s="1"/>
  <c r="G115" i="1" s="1"/>
  <c r="G50" i="1"/>
  <c r="G284" i="1"/>
  <c r="G283" i="1" s="1"/>
  <c r="G829" i="1"/>
  <c r="G785" i="1"/>
  <c r="G784" i="1" s="1"/>
  <c r="G646" i="1"/>
  <c r="G606" i="1"/>
  <c r="G605" i="1" s="1"/>
  <c r="G487" i="1"/>
  <c r="G424" i="1"/>
  <c r="G423" i="1" s="1"/>
  <c r="G338" i="1"/>
  <c r="G32" i="1"/>
  <c r="C37" i="2"/>
  <c r="H4" i="2"/>
  <c r="H23" i="2" s="1"/>
  <c r="H24" i="2" s="1"/>
  <c r="G642" i="1" l="1"/>
  <c r="G467" i="1"/>
  <c r="G31" i="1"/>
  <c r="G30" i="1" s="1"/>
  <c r="G29" i="1" s="1"/>
  <c r="G255" i="1"/>
  <c r="G380" i="1"/>
  <c r="G448" i="1"/>
  <c r="G828" i="1"/>
  <c r="G827" i="1" s="1"/>
  <c r="G783" i="1" s="1"/>
  <c r="G782" i="1" s="1"/>
  <c r="G641" i="1"/>
  <c r="G517" i="1"/>
  <c r="G238" i="1"/>
  <c r="G97" i="1" s="1"/>
  <c r="B2" i="3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3" i="1"/>
  <c r="I872" i="1"/>
  <c r="I868" i="1"/>
  <c r="I866" i="1"/>
  <c r="I865" i="1"/>
  <c r="I864" i="1"/>
  <c r="I863" i="1"/>
  <c r="I862" i="1"/>
  <c r="I861" i="1"/>
  <c r="I860" i="1"/>
  <c r="I859" i="1"/>
  <c r="I858" i="1"/>
  <c r="I857" i="1"/>
  <c r="I854" i="1"/>
  <c r="I853" i="1"/>
  <c r="I851" i="1"/>
  <c r="I848" i="1"/>
  <c r="I847" i="1"/>
  <c r="I846" i="1"/>
  <c r="I845" i="1"/>
  <c r="I844" i="1"/>
  <c r="I843" i="1"/>
  <c r="I842" i="1"/>
  <c r="I841" i="1"/>
  <c r="I840" i="1"/>
  <c r="I839" i="1"/>
  <c r="I837" i="1"/>
  <c r="I835" i="1"/>
  <c r="I833" i="1"/>
  <c r="I832" i="1"/>
  <c r="I831" i="1"/>
  <c r="I830" i="1"/>
  <c r="I826" i="1"/>
  <c r="I825" i="1"/>
  <c r="I824" i="1"/>
  <c r="I821" i="1"/>
  <c r="I820" i="1"/>
  <c r="I819" i="1"/>
  <c r="I817" i="1"/>
  <c r="I815" i="1"/>
  <c r="I813" i="1"/>
  <c r="I812" i="1"/>
  <c r="I811" i="1"/>
  <c r="I809" i="1"/>
  <c r="I808" i="1"/>
  <c r="I807" i="1"/>
  <c r="I805" i="1"/>
  <c r="I804" i="1"/>
  <c r="I803" i="1"/>
  <c r="I801" i="1"/>
  <c r="I800" i="1"/>
  <c r="I799" i="1"/>
  <c r="I797" i="1"/>
  <c r="I796" i="1"/>
  <c r="I795" i="1"/>
  <c r="I793" i="1"/>
  <c r="I792" i="1"/>
  <c r="I791" i="1"/>
  <c r="I789" i="1"/>
  <c r="I788" i="1"/>
  <c r="I787" i="1"/>
  <c r="I781" i="1"/>
  <c r="I780" i="1"/>
  <c r="I779" i="1"/>
  <c r="I777" i="1"/>
  <c r="I775" i="1"/>
  <c r="I773" i="1"/>
  <c r="I771" i="1"/>
  <c r="I770" i="1"/>
  <c r="I768" i="1"/>
  <c r="I767" i="1"/>
  <c r="I766" i="1"/>
  <c r="I763" i="1"/>
  <c r="I762" i="1"/>
  <c r="I761" i="1"/>
  <c r="I758" i="1"/>
  <c r="I756" i="1"/>
  <c r="I754" i="1"/>
  <c r="I752" i="1"/>
  <c r="I751" i="1"/>
  <c r="I749" i="1"/>
  <c r="I748" i="1"/>
  <c r="I745" i="1"/>
  <c r="I744" i="1"/>
  <c r="I743" i="1"/>
  <c r="I740" i="1"/>
  <c r="I738" i="1"/>
  <c r="I736" i="1"/>
  <c r="I734" i="1"/>
  <c r="I733" i="1"/>
  <c r="I731" i="1"/>
  <c r="I729" i="1"/>
  <c r="I728" i="1"/>
  <c r="I727" i="1"/>
  <c r="I724" i="1"/>
  <c r="I723" i="1"/>
  <c r="I722" i="1"/>
  <c r="I719" i="1"/>
  <c r="I717" i="1"/>
  <c r="I716" i="1"/>
  <c r="I715" i="1"/>
  <c r="I713" i="1"/>
  <c r="I711" i="1"/>
  <c r="I710" i="1"/>
  <c r="I709" i="1"/>
  <c r="I708" i="1"/>
  <c r="I705" i="1"/>
  <c r="I704" i="1"/>
  <c r="I703" i="1"/>
  <c r="I700" i="1"/>
  <c r="I698" i="1"/>
  <c r="I697" i="1"/>
  <c r="I695" i="1"/>
  <c r="I693" i="1"/>
  <c r="I692" i="1"/>
  <c r="I691" i="1"/>
  <c r="I690" i="1"/>
  <c r="I687" i="1"/>
  <c r="I686" i="1"/>
  <c r="I685" i="1"/>
  <c r="I682" i="1"/>
  <c r="I681" i="1"/>
  <c r="I680" i="1"/>
  <c r="I677" i="1"/>
  <c r="I675" i="1"/>
  <c r="I673" i="1"/>
  <c r="I671" i="1"/>
  <c r="I669" i="1"/>
  <c r="I667" i="1"/>
  <c r="I666" i="1"/>
  <c r="I665" i="1"/>
  <c r="I664" i="1"/>
  <c r="I661" i="1"/>
  <c r="I660" i="1"/>
  <c r="I659" i="1"/>
  <c r="I657" i="1"/>
  <c r="I655" i="1"/>
  <c r="I654" i="1"/>
  <c r="I653" i="1"/>
  <c r="I652" i="1"/>
  <c r="I650" i="1"/>
  <c r="I648" i="1"/>
  <c r="I647" i="1"/>
  <c r="I645" i="1"/>
  <c r="I644" i="1"/>
  <c r="I640" i="1"/>
  <c r="I639" i="1"/>
  <c r="I638" i="1"/>
  <c r="I635" i="1"/>
  <c r="I633" i="1"/>
  <c r="I631" i="1"/>
  <c r="I629" i="1"/>
  <c r="I628" i="1"/>
  <c r="I627" i="1"/>
  <c r="I626" i="1"/>
  <c r="I622" i="1"/>
  <c r="I621" i="1"/>
  <c r="I620" i="1"/>
  <c r="I617" i="1"/>
  <c r="I615" i="1"/>
  <c r="I613" i="1"/>
  <c r="I611" i="1"/>
  <c r="I610" i="1"/>
  <c r="I608" i="1"/>
  <c r="I607" i="1"/>
  <c r="I604" i="1"/>
  <c r="I603" i="1"/>
  <c r="I602" i="1"/>
  <c r="I599" i="1"/>
  <c r="I597" i="1"/>
  <c r="I595" i="1"/>
  <c r="I593" i="1"/>
  <c r="I592" i="1"/>
  <c r="I590" i="1"/>
  <c r="I589" i="1"/>
  <c r="I588" i="1"/>
  <c r="I585" i="1"/>
  <c r="I584" i="1"/>
  <c r="I583" i="1"/>
  <c r="I580" i="1"/>
  <c r="I578" i="1"/>
  <c r="I576" i="1"/>
  <c r="I574" i="1"/>
  <c r="I573" i="1"/>
  <c r="I571" i="1"/>
  <c r="I570" i="1"/>
  <c r="I567" i="1"/>
  <c r="I566" i="1"/>
  <c r="I565" i="1"/>
  <c r="I562" i="1"/>
  <c r="I560" i="1"/>
  <c r="I558" i="1"/>
  <c r="I557" i="1"/>
  <c r="I555" i="1"/>
  <c r="I554" i="1"/>
  <c r="I551" i="1"/>
  <c r="I550" i="1"/>
  <c r="I549" i="1"/>
  <c r="I546" i="1"/>
  <c r="I544" i="1"/>
  <c r="I542" i="1"/>
  <c r="I541" i="1"/>
  <c r="I540" i="1"/>
  <c r="I539" i="1"/>
  <c r="I536" i="1"/>
  <c r="I535" i="1"/>
  <c r="I534" i="1"/>
  <c r="I531" i="1"/>
  <c r="I529" i="1"/>
  <c r="I527" i="1"/>
  <c r="I525" i="1"/>
  <c r="I524" i="1"/>
  <c r="I522" i="1"/>
  <c r="I521" i="1"/>
  <c r="I520" i="1"/>
  <c r="I516" i="1"/>
  <c r="I515" i="1"/>
  <c r="I514" i="1"/>
  <c r="I511" i="1"/>
  <c r="I509" i="1"/>
  <c r="I507" i="1"/>
  <c r="I506" i="1"/>
  <c r="I505" i="1"/>
  <c r="I504" i="1"/>
  <c r="I503" i="1"/>
  <c r="I500" i="1"/>
  <c r="I499" i="1"/>
  <c r="I498" i="1"/>
  <c r="I495" i="1"/>
  <c r="I493" i="1"/>
  <c r="I492" i="1"/>
  <c r="I491" i="1"/>
  <c r="I490" i="1"/>
  <c r="I489" i="1"/>
  <c r="I486" i="1"/>
  <c r="I485" i="1"/>
  <c r="I484" i="1"/>
  <c r="I481" i="1"/>
  <c r="I479" i="1"/>
  <c r="I477" i="1"/>
  <c r="I475" i="1"/>
  <c r="I473" i="1"/>
  <c r="I472" i="1"/>
  <c r="I471" i="1"/>
  <c r="I470" i="1"/>
  <c r="I469" i="1"/>
  <c r="I466" i="1"/>
  <c r="I465" i="1"/>
  <c r="I464" i="1"/>
  <c r="I461" i="1"/>
  <c r="I459" i="1"/>
  <c r="I457" i="1"/>
  <c r="I455" i="1"/>
  <c r="I454" i="1"/>
  <c r="I453" i="1"/>
  <c r="I452" i="1"/>
  <c r="I451" i="1"/>
  <c r="I447" i="1"/>
  <c r="I446" i="1"/>
  <c r="I445" i="1"/>
  <c r="I444" i="1"/>
  <c r="I443" i="1"/>
  <c r="I442" i="1"/>
  <c r="I440" i="1"/>
  <c r="I439" i="1"/>
  <c r="I438" i="1"/>
  <c r="I436" i="1"/>
  <c r="I434" i="1"/>
  <c r="I432" i="1"/>
  <c r="I430" i="1"/>
  <c r="I429" i="1"/>
  <c r="I428" i="1"/>
  <c r="I427" i="1"/>
  <c r="I426" i="1"/>
  <c r="I425" i="1"/>
  <c r="I422" i="1"/>
  <c r="I421" i="1"/>
  <c r="I420" i="1"/>
  <c r="I418" i="1"/>
  <c r="I416" i="1"/>
  <c r="I414" i="1"/>
  <c r="I412" i="1"/>
  <c r="I411" i="1"/>
  <c r="I409" i="1"/>
  <c r="I408" i="1"/>
  <c r="I407" i="1"/>
  <c r="I404" i="1"/>
  <c r="I403" i="1"/>
  <c r="I402" i="1"/>
  <c r="I401" i="1"/>
  <c r="I400" i="1"/>
  <c r="I399" i="1"/>
  <c r="I397" i="1"/>
  <c r="I396" i="1"/>
  <c r="I395" i="1"/>
  <c r="I393" i="1"/>
  <c r="I391" i="1"/>
  <c r="I389" i="1"/>
  <c r="I388" i="1"/>
  <c r="I386" i="1"/>
  <c r="I385" i="1"/>
  <c r="I384" i="1"/>
  <c r="I383" i="1"/>
  <c r="I377" i="1"/>
  <c r="I376" i="1"/>
  <c r="I375" i="1"/>
  <c r="I372" i="1"/>
  <c r="I370" i="1"/>
  <c r="I368" i="1"/>
  <c r="I366" i="1"/>
  <c r="I364" i="1"/>
  <c r="I363" i="1"/>
  <c r="I362" i="1"/>
  <c r="I361" i="1"/>
  <c r="I360" i="1"/>
  <c r="I357" i="1"/>
  <c r="I356" i="1"/>
  <c r="I355" i="1"/>
  <c r="I352" i="1"/>
  <c r="I350" i="1"/>
  <c r="I348" i="1"/>
  <c r="I346" i="1"/>
  <c r="I344" i="1"/>
  <c r="I343" i="1"/>
  <c r="I342" i="1"/>
  <c r="I341" i="1"/>
  <c r="I340" i="1"/>
  <c r="I337" i="1"/>
  <c r="I336" i="1"/>
  <c r="I335" i="1"/>
  <c r="I332" i="1"/>
  <c r="I330" i="1"/>
  <c r="I328" i="1"/>
  <c r="I326" i="1"/>
  <c r="I325" i="1"/>
  <c r="I324" i="1"/>
  <c r="I323" i="1"/>
  <c r="I322" i="1"/>
  <c r="I319" i="1"/>
  <c r="I318" i="1"/>
  <c r="I317" i="1"/>
  <c r="I315" i="1"/>
  <c r="I314" i="1"/>
  <c r="I313" i="1"/>
  <c r="I312" i="1"/>
  <c r="I311" i="1"/>
  <c r="I308" i="1"/>
  <c r="I307" i="1"/>
  <c r="I306" i="1"/>
  <c r="I304" i="1"/>
  <c r="I302" i="1"/>
  <c r="I301" i="1"/>
  <c r="I300" i="1"/>
  <c r="I299" i="1"/>
  <c r="I298" i="1"/>
  <c r="I295" i="1"/>
  <c r="I294" i="1"/>
  <c r="I293" i="1"/>
  <c r="I291" i="1"/>
  <c r="I289" i="1"/>
  <c r="I288" i="1"/>
  <c r="I287" i="1"/>
  <c r="I286" i="1"/>
  <c r="I285" i="1"/>
  <c r="I282" i="1"/>
  <c r="I281" i="1"/>
  <c r="I280" i="1"/>
  <c r="I278" i="1"/>
  <c r="I277" i="1"/>
  <c r="I276" i="1"/>
  <c r="I275" i="1"/>
  <c r="I272" i="1"/>
  <c r="I271" i="1"/>
  <c r="I270" i="1"/>
  <c r="I267" i="1"/>
  <c r="I265" i="1"/>
  <c r="I263" i="1"/>
  <c r="I261" i="1"/>
  <c r="I260" i="1"/>
  <c r="I259" i="1"/>
  <c r="I258" i="1"/>
  <c r="I254" i="1"/>
  <c r="I253" i="1"/>
  <c r="I252" i="1"/>
  <c r="I249" i="1"/>
  <c r="I247" i="1"/>
  <c r="I245" i="1"/>
  <c r="I243" i="1"/>
  <c r="I242" i="1"/>
  <c r="I241" i="1"/>
  <c r="I240" i="1"/>
  <c r="I237" i="1"/>
  <c r="I236" i="1"/>
  <c r="I235" i="1"/>
  <c r="I232" i="1"/>
  <c r="I230" i="1"/>
  <c r="I228" i="1"/>
  <c r="I226" i="1"/>
  <c r="I225" i="1"/>
  <c r="I224" i="1"/>
  <c r="I223" i="1"/>
  <c r="I220" i="1"/>
  <c r="I219" i="1"/>
  <c r="I218" i="1"/>
  <c r="I215" i="1"/>
  <c r="I213" i="1"/>
  <c r="I211" i="1"/>
  <c r="I209" i="1"/>
  <c r="I208" i="1"/>
  <c r="I206" i="1"/>
  <c r="I205" i="1"/>
  <c r="I202" i="1"/>
  <c r="I201" i="1"/>
  <c r="I200" i="1"/>
  <c r="I197" i="1"/>
  <c r="I195" i="1"/>
  <c r="I193" i="1"/>
  <c r="I191" i="1"/>
  <c r="I190" i="1"/>
  <c r="I188" i="1"/>
  <c r="I187" i="1"/>
  <c r="I184" i="1"/>
  <c r="I183" i="1"/>
  <c r="I182" i="1"/>
  <c r="I179" i="1"/>
  <c r="I177" i="1"/>
  <c r="I175" i="1"/>
  <c r="I173" i="1"/>
  <c r="I172" i="1"/>
  <c r="I170" i="1"/>
  <c r="I168" i="1"/>
  <c r="I167" i="1"/>
  <c r="I166" i="1"/>
  <c r="I163" i="1"/>
  <c r="I162" i="1"/>
  <c r="I161" i="1"/>
  <c r="I159" i="1"/>
  <c r="I157" i="1"/>
  <c r="I155" i="1"/>
  <c r="I154" i="1"/>
  <c r="I153" i="1"/>
  <c r="I152" i="1"/>
  <c r="I149" i="1"/>
  <c r="I148" i="1"/>
  <c r="I147" i="1"/>
  <c r="I145" i="1"/>
  <c r="I143" i="1"/>
  <c r="I141" i="1"/>
  <c r="I140" i="1"/>
  <c r="I138" i="1"/>
  <c r="I137" i="1"/>
  <c r="I136" i="1"/>
  <c r="I135" i="1"/>
  <c r="I132" i="1"/>
  <c r="I131" i="1"/>
  <c r="I130" i="1"/>
  <c r="I127" i="1"/>
  <c r="I125" i="1"/>
  <c r="I123" i="1"/>
  <c r="I122" i="1"/>
  <c r="I121" i="1"/>
  <c r="I120" i="1"/>
  <c r="I119" i="1"/>
  <c r="I118" i="1"/>
  <c r="I114" i="1"/>
  <c r="I113" i="1"/>
  <c r="I112" i="1"/>
  <c r="I110" i="1"/>
  <c r="I108" i="1"/>
  <c r="I106" i="1"/>
  <c r="I105" i="1"/>
  <c r="I104" i="1"/>
  <c r="I102" i="1"/>
  <c r="I101" i="1"/>
  <c r="I100" i="1"/>
  <c r="I94" i="1"/>
  <c r="I93" i="1"/>
  <c r="I92" i="1"/>
  <c r="I90" i="1"/>
  <c r="I88" i="1"/>
  <c r="I86" i="1"/>
  <c r="I85" i="1"/>
  <c r="I83" i="1"/>
  <c r="I82" i="1"/>
  <c r="I79" i="1"/>
  <c r="I78" i="1"/>
  <c r="I77" i="1"/>
  <c r="I75" i="1"/>
  <c r="I73" i="1"/>
  <c r="I71" i="1"/>
  <c r="I70" i="1"/>
  <c r="I68" i="1"/>
  <c r="I66" i="1"/>
  <c r="I65" i="1"/>
  <c r="I62" i="1"/>
  <c r="I60" i="1"/>
  <c r="I58" i="1"/>
  <c r="I57" i="1"/>
  <c r="I55" i="1"/>
  <c r="I53" i="1"/>
  <c r="I52" i="1"/>
  <c r="I49" i="1"/>
  <c r="I48" i="1"/>
  <c r="I47" i="1"/>
  <c r="I45" i="1"/>
  <c r="I44" i="1"/>
  <c r="I42" i="1"/>
  <c r="I40" i="1"/>
  <c r="I39" i="1"/>
  <c r="I37" i="1"/>
  <c r="I35" i="1"/>
  <c r="I34" i="1"/>
  <c r="I28" i="1"/>
  <c r="I27" i="1"/>
  <c r="I26" i="1"/>
  <c r="I22" i="1"/>
  <c r="G96" i="1" l="1"/>
  <c r="G95" i="1" s="1"/>
  <c r="G379" i="1"/>
  <c r="G378" i="1" s="1"/>
  <c r="H14" i="12"/>
  <c r="I13" i="12"/>
  <c r="O3" i="12"/>
  <c r="E44" i="12"/>
  <c r="O44" i="12"/>
  <c r="E55" i="12"/>
  <c r="E56" i="12"/>
  <c r="O45" i="12"/>
  <c r="E45" i="12"/>
  <c r="E11" i="11"/>
  <c r="H18" i="12" a="1"/>
  <c r="G16" i="1" l="1"/>
  <c r="G15" i="1" s="1"/>
  <c r="H18" i="12"/>
  <c r="G9" i="6"/>
  <c r="G8" i="6"/>
  <c r="G7" i="6"/>
  <c r="I874" i="1" l="1"/>
  <c r="I871" i="1"/>
  <c r="I870" i="1" s="1"/>
  <c r="I867" i="1"/>
  <c r="I856" i="1"/>
  <c r="I852" i="1"/>
  <c r="I850" i="1"/>
  <c r="I838" i="1"/>
  <c r="I836" i="1"/>
  <c r="I834" i="1"/>
  <c r="I823" i="1"/>
  <c r="I822" i="1" s="1"/>
  <c r="I818" i="1"/>
  <c r="I816" i="1"/>
  <c r="I814" i="1"/>
  <c r="I810" i="1"/>
  <c r="I806" i="1"/>
  <c r="I802" i="1"/>
  <c r="I798" i="1"/>
  <c r="I794" i="1"/>
  <c r="I790" i="1"/>
  <c r="I786" i="1"/>
  <c r="I778" i="1"/>
  <c r="I776" i="1"/>
  <c r="I774" i="1"/>
  <c r="I772" i="1"/>
  <c r="I765" i="1"/>
  <c r="I759" i="1"/>
  <c r="I757" i="1"/>
  <c r="I755" i="1"/>
  <c r="I753" i="1"/>
  <c r="I750" i="1"/>
  <c r="I747" i="1"/>
  <c r="I741" i="1"/>
  <c r="I739" i="1"/>
  <c r="I737" i="1"/>
  <c r="I735" i="1"/>
  <c r="I732" i="1"/>
  <c r="I730" i="1"/>
  <c r="I726" i="1"/>
  <c r="I721" i="1"/>
  <c r="I720" i="1" s="1"/>
  <c r="I718" i="1"/>
  <c r="I714" i="1"/>
  <c r="I712" i="1"/>
  <c r="I707" i="1"/>
  <c r="I702" i="1"/>
  <c r="I701" i="1" s="1"/>
  <c r="I699" i="1"/>
  <c r="I696" i="1"/>
  <c r="I694" i="1"/>
  <c r="I689" i="1"/>
  <c r="I684" i="1"/>
  <c r="I683" i="1" s="1"/>
  <c r="I679" i="1"/>
  <c r="I678" i="1" s="1"/>
  <c r="I676" i="1"/>
  <c r="I674" i="1"/>
  <c r="I672" i="1"/>
  <c r="I670" i="1"/>
  <c r="I668" i="1"/>
  <c r="I663" i="1"/>
  <c r="I658" i="1"/>
  <c r="I656" i="1"/>
  <c r="I651" i="1"/>
  <c r="I649" i="1"/>
  <c r="I646" i="1"/>
  <c r="I643" i="1"/>
  <c r="I637" i="1"/>
  <c r="I636" i="1" s="1"/>
  <c r="I634" i="1"/>
  <c r="I632" i="1"/>
  <c r="I630" i="1"/>
  <c r="I625" i="1"/>
  <c r="I619" i="1"/>
  <c r="I618" i="1" s="1"/>
  <c r="I616" i="1"/>
  <c r="I614" i="1"/>
  <c r="I612" i="1"/>
  <c r="I609" i="1"/>
  <c r="I606" i="1"/>
  <c r="I601" i="1"/>
  <c r="I600" i="1" s="1"/>
  <c r="I598" i="1"/>
  <c r="I596" i="1"/>
  <c r="I594" i="1"/>
  <c r="I591" i="1"/>
  <c r="I587" i="1"/>
  <c r="I582" i="1"/>
  <c r="I581" i="1" s="1"/>
  <c r="I579" i="1"/>
  <c r="I577" i="1"/>
  <c r="I575" i="1"/>
  <c r="I572" i="1"/>
  <c r="I569" i="1"/>
  <c r="I564" i="1"/>
  <c r="I563" i="1" s="1"/>
  <c r="I561" i="1"/>
  <c r="I559" i="1"/>
  <c r="I556" i="1"/>
  <c r="I553" i="1"/>
  <c r="I548" i="1"/>
  <c r="I547" i="1" s="1"/>
  <c r="I545" i="1"/>
  <c r="I543" i="1"/>
  <c r="I538" i="1"/>
  <c r="I533" i="1"/>
  <c r="I532" i="1" s="1"/>
  <c r="I530" i="1"/>
  <c r="I528" i="1"/>
  <c r="I526" i="1"/>
  <c r="I523" i="1"/>
  <c r="I519" i="1"/>
  <c r="I512" i="1"/>
  <c r="I510" i="1"/>
  <c r="I508" i="1"/>
  <c r="I502" i="1"/>
  <c r="I496" i="1"/>
  <c r="I494" i="1"/>
  <c r="I488" i="1"/>
  <c r="I482" i="1"/>
  <c r="I480" i="1"/>
  <c r="I478" i="1"/>
  <c r="I476" i="1"/>
  <c r="I474" i="1"/>
  <c r="I468" i="1"/>
  <c r="I463" i="1"/>
  <c r="I462" i="1" s="1"/>
  <c r="I460" i="1"/>
  <c r="I458" i="1"/>
  <c r="I456" i="1"/>
  <c r="I450" i="1"/>
  <c r="I441" i="1"/>
  <c r="I437" i="1"/>
  <c r="I435" i="1"/>
  <c r="I433" i="1"/>
  <c r="I431" i="1"/>
  <c r="I424" i="1"/>
  <c r="I419" i="1"/>
  <c r="I417" i="1"/>
  <c r="I415" i="1"/>
  <c r="I413" i="1"/>
  <c r="I410" i="1"/>
  <c r="I406" i="1"/>
  <c r="I398" i="1"/>
  <c r="I394" i="1"/>
  <c r="I392" i="1"/>
  <c r="I390" i="1"/>
  <c r="I387" i="1"/>
  <c r="I382" i="1"/>
  <c r="I374" i="1"/>
  <c r="I373" i="1" s="1"/>
  <c r="I371" i="1"/>
  <c r="I369" i="1"/>
  <c r="I367" i="1"/>
  <c r="I365" i="1"/>
  <c r="I359" i="1"/>
  <c r="I354" i="1"/>
  <c r="I353" i="1" s="1"/>
  <c r="I351" i="1"/>
  <c r="I349" i="1"/>
  <c r="I347" i="1"/>
  <c r="I345" i="1"/>
  <c r="I339" i="1"/>
  <c r="I334" i="1"/>
  <c r="I333" i="1" s="1"/>
  <c r="I331" i="1"/>
  <c r="I329" i="1"/>
  <c r="I327" i="1"/>
  <c r="I321" i="1"/>
  <c r="I316" i="1"/>
  <c r="I310" i="1"/>
  <c r="I305" i="1"/>
  <c r="I303" i="1"/>
  <c r="I297" i="1"/>
  <c r="I292" i="1"/>
  <c r="I290" i="1"/>
  <c r="I284" i="1"/>
  <c r="I279" i="1"/>
  <c r="I274" i="1"/>
  <c r="I269" i="1"/>
  <c r="I268" i="1" s="1"/>
  <c r="I266" i="1"/>
  <c r="I264" i="1"/>
  <c r="I262" i="1"/>
  <c r="I257" i="1"/>
  <c r="I251" i="1"/>
  <c r="I250" i="1" s="1"/>
  <c r="I248" i="1"/>
  <c r="I246" i="1"/>
  <c r="I244" i="1"/>
  <c r="I239" i="1"/>
  <c r="I233" i="1"/>
  <c r="I231" i="1"/>
  <c r="I229" i="1"/>
  <c r="I227" i="1"/>
  <c r="I222" i="1"/>
  <c r="I216" i="1"/>
  <c r="I214" i="1"/>
  <c r="I212" i="1"/>
  <c r="I210" i="1"/>
  <c r="I207" i="1"/>
  <c r="I204" i="1"/>
  <c r="I198" i="1"/>
  <c r="I196" i="1"/>
  <c r="I194" i="1"/>
  <c r="I192" i="1"/>
  <c r="I189" i="1"/>
  <c r="I186" i="1"/>
  <c r="I180" i="1"/>
  <c r="I178" i="1"/>
  <c r="I176" i="1"/>
  <c r="I174" i="1"/>
  <c r="I171" i="1"/>
  <c r="I169" i="1"/>
  <c r="I165" i="1"/>
  <c r="I160" i="1"/>
  <c r="I158" i="1"/>
  <c r="I156" i="1"/>
  <c r="I151" i="1"/>
  <c r="I146" i="1"/>
  <c r="I144" i="1"/>
  <c r="I142" i="1"/>
  <c r="I139" i="1"/>
  <c r="I134" i="1"/>
  <c r="I128" i="1"/>
  <c r="I126" i="1"/>
  <c r="I124" i="1"/>
  <c r="I117" i="1"/>
  <c r="I116" i="1" s="1"/>
  <c r="I111" i="1"/>
  <c r="I109" i="1"/>
  <c r="I107" i="1"/>
  <c r="I99" i="1"/>
  <c r="I91" i="1"/>
  <c r="I89" i="1"/>
  <c r="I87" i="1"/>
  <c r="I84" i="1"/>
  <c r="I81" i="1"/>
  <c r="I76" i="1"/>
  <c r="I74" i="1"/>
  <c r="I72" i="1"/>
  <c r="I69" i="1"/>
  <c r="I67" i="1"/>
  <c r="I64" i="1"/>
  <c r="I61" i="1"/>
  <c r="I59" i="1"/>
  <c r="I56" i="1"/>
  <c r="I54" i="1"/>
  <c r="I51" i="1"/>
  <c r="I46" i="1"/>
  <c r="I43" i="1"/>
  <c r="I41" i="1"/>
  <c r="I38" i="1"/>
  <c r="I36" i="1"/>
  <c r="I33" i="1"/>
  <c r="I25" i="1"/>
  <c r="I24" i="1" s="1"/>
  <c r="I23" i="1" s="1"/>
  <c r="I21" i="1"/>
  <c r="I20" i="1" s="1"/>
  <c r="H874" i="1"/>
  <c r="H871" i="1"/>
  <c r="H870" i="1" s="1"/>
  <c r="H867" i="1"/>
  <c r="H852" i="1"/>
  <c r="H850" i="1"/>
  <c r="H836" i="1"/>
  <c r="H834" i="1"/>
  <c r="H823" i="1"/>
  <c r="H822" i="1" s="1"/>
  <c r="H816" i="1"/>
  <c r="H814" i="1"/>
  <c r="H810" i="1"/>
  <c r="H794" i="1"/>
  <c r="H776" i="1"/>
  <c r="H774" i="1"/>
  <c r="H772" i="1"/>
  <c r="H759" i="1"/>
  <c r="H757" i="1"/>
  <c r="H755" i="1"/>
  <c r="H753" i="1"/>
  <c r="H747" i="1"/>
  <c r="H739" i="1"/>
  <c r="H737" i="1"/>
  <c r="H735" i="1"/>
  <c r="H730" i="1"/>
  <c r="H721" i="1"/>
  <c r="H720" i="1" s="1"/>
  <c r="H718" i="1"/>
  <c r="H712" i="1"/>
  <c r="H699" i="1"/>
  <c r="H696" i="1"/>
  <c r="H694" i="1"/>
  <c r="H689" i="1"/>
  <c r="H684" i="1"/>
  <c r="H683" i="1" s="1"/>
  <c r="H676" i="1"/>
  <c r="H674" i="1"/>
  <c r="H672" i="1"/>
  <c r="H670" i="1"/>
  <c r="H668" i="1"/>
  <c r="H656" i="1"/>
  <c r="H649" i="1"/>
  <c r="H637" i="1"/>
  <c r="H636" i="1" s="1"/>
  <c r="H634" i="1"/>
  <c r="H632" i="1"/>
  <c r="H630" i="1"/>
  <c r="H625" i="1"/>
  <c r="H616" i="1"/>
  <c r="H614" i="1"/>
  <c r="H612" i="1"/>
  <c r="H609" i="1"/>
  <c r="H598" i="1"/>
  <c r="H596" i="1"/>
  <c r="H594" i="1"/>
  <c r="H579" i="1"/>
  <c r="H577" i="1"/>
  <c r="H575" i="1"/>
  <c r="H561" i="1"/>
  <c r="H559" i="1"/>
  <c r="H556" i="1"/>
  <c r="H548" i="1"/>
  <c r="H547" i="1" s="1"/>
  <c r="H545" i="1"/>
  <c r="H543" i="1"/>
  <c r="H533" i="1"/>
  <c r="H532" i="1" s="1"/>
  <c r="H530" i="1"/>
  <c r="H528" i="1"/>
  <c r="H526" i="1"/>
  <c r="H510" i="1"/>
  <c r="H508" i="1"/>
  <c r="H494" i="1"/>
  <c r="H482" i="1"/>
  <c r="H480" i="1"/>
  <c r="H478" i="1"/>
  <c r="H476" i="1"/>
  <c r="H474" i="1"/>
  <c r="H460" i="1"/>
  <c r="H458" i="1"/>
  <c r="H456" i="1"/>
  <c r="H435" i="1"/>
  <c r="H433" i="1"/>
  <c r="H431" i="1"/>
  <c r="H419" i="1"/>
  <c r="H417" i="1"/>
  <c r="H415" i="1"/>
  <c r="H413" i="1"/>
  <c r="H410" i="1"/>
  <c r="H392" i="1"/>
  <c r="H390" i="1"/>
  <c r="H387" i="1"/>
  <c r="H371" i="1"/>
  <c r="H369" i="1"/>
  <c r="H367" i="1"/>
  <c r="H365" i="1"/>
  <c r="H351" i="1"/>
  <c r="H349" i="1"/>
  <c r="H347" i="1"/>
  <c r="H345" i="1"/>
  <c r="H331" i="1"/>
  <c r="H329" i="1"/>
  <c r="H327" i="1"/>
  <c r="H305" i="1"/>
  <c r="H303" i="1"/>
  <c r="H290" i="1"/>
  <c r="H284" i="1"/>
  <c r="H279" i="1"/>
  <c r="H266" i="1"/>
  <c r="H264" i="1"/>
  <c r="H262" i="1"/>
  <c r="H248" i="1"/>
  <c r="H246" i="1"/>
  <c r="H244" i="1"/>
  <c r="H231" i="1"/>
  <c r="H229" i="1"/>
  <c r="H227" i="1"/>
  <c r="H222" i="1"/>
  <c r="H216" i="1"/>
  <c r="H214" i="1"/>
  <c r="H212" i="1"/>
  <c r="H210" i="1"/>
  <c r="H204" i="1"/>
  <c r="H196" i="1"/>
  <c r="H194" i="1"/>
  <c r="H192" i="1"/>
  <c r="H186" i="1"/>
  <c r="H180" i="1"/>
  <c r="H178" i="1"/>
  <c r="H176" i="1"/>
  <c r="H174" i="1"/>
  <c r="H171" i="1"/>
  <c r="H169" i="1"/>
  <c r="H165" i="1"/>
  <c r="H158" i="1"/>
  <c r="H156" i="1"/>
  <c r="H144" i="1"/>
  <c r="H142" i="1"/>
  <c r="H128" i="1"/>
  <c r="H126" i="1"/>
  <c r="H124" i="1"/>
  <c r="H109" i="1"/>
  <c r="H107" i="1"/>
  <c r="H89" i="1"/>
  <c r="H87" i="1"/>
  <c r="H81" i="1"/>
  <c r="H74" i="1"/>
  <c r="H72" i="1"/>
  <c r="H69" i="1"/>
  <c r="H67" i="1"/>
  <c r="H64" i="1"/>
  <c r="H61" i="1"/>
  <c r="H59" i="1"/>
  <c r="H56" i="1"/>
  <c r="H54" i="1"/>
  <c r="H51" i="1"/>
  <c r="H41" i="1"/>
  <c r="H38" i="1"/>
  <c r="H36" i="1"/>
  <c r="H21" i="1"/>
  <c r="H20" i="1" s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3" i="1"/>
  <c r="J872" i="1"/>
  <c r="J868" i="1"/>
  <c r="J867" i="1" s="1"/>
  <c r="J866" i="1"/>
  <c r="J865" i="1"/>
  <c r="J864" i="1"/>
  <c r="J863" i="1"/>
  <c r="J862" i="1"/>
  <c r="J861" i="1"/>
  <c r="J860" i="1"/>
  <c r="J859" i="1"/>
  <c r="J858" i="1"/>
  <c r="J857" i="1"/>
  <c r="J854" i="1"/>
  <c r="J853" i="1"/>
  <c r="J851" i="1"/>
  <c r="J850" i="1" s="1"/>
  <c r="J848" i="1"/>
  <c r="J847" i="1"/>
  <c r="J846" i="1"/>
  <c r="J845" i="1"/>
  <c r="J844" i="1"/>
  <c r="J843" i="1"/>
  <c r="J842" i="1"/>
  <c r="J841" i="1"/>
  <c r="J840" i="1"/>
  <c r="J839" i="1"/>
  <c r="J837" i="1"/>
  <c r="J836" i="1" s="1"/>
  <c r="J835" i="1"/>
  <c r="J834" i="1" s="1"/>
  <c r="J833" i="1"/>
  <c r="J832" i="1"/>
  <c r="J831" i="1"/>
  <c r="J830" i="1"/>
  <c r="J826" i="1"/>
  <c r="J825" i="1"/>
  <c r="J824" i="1"/>
  <c r="J821" i="1"/>
  <c r="J820" i="1"/>
  <c r="J819" i="1"/>
  <c r="J817" i="1"/>
  <c r="J816" i="1" s="1"/>
  <c r="J815" i="1"/>
  <c r="J814" i="1" s="1"/>
  <c r="J813" i="1"/>
  <c r="J812" i="1"/>
  <c r="J811" i="1"/>
  <c r="J809" i="1"/>
  <c r="J808" i="1"/>
  <c r="J807" i="1"/>
  <c r="J805" i="1"/>
  <c r="J804" i="1"/>
  <c r="J803" i="1"/>
  <c r="J801" i="1"/>
  <c r="J800" i="1"/>
  <c r="J799" i="1"/>
  <c r="J797" i="1"/>
  <c r="J796" i="1"/>
  <c r="J795" i="1"/>
  <c r="J793" i="1"/>
  <c r="J792" i="1"/>
  <c r="J791" i="1"/>
  <c r="J789" i="1"/>
  <c r="J788" i="1"/>
  <c r="J787" i="1"/>
  <c r="J781" i="1"/>
  <c r="J780" i="1"/>
  <c r="J779" i="1"/>
  <c r="J777" i="1"/>
  <c r="J776" i="1" s="1"/>
  <c r="J775" i="1"/>
  <c r="J774" i="1" s="1"/>
  <c r="J773" i="1"/>
  <c r="J772" i="1" s="1"/>
  <c r="J771" i="1"/>
  <c r="J770" i="1"/>
  <c r="J768" i="1"/>
  <c r="J767" i="1"/>
  <c r="J766" i="1"/>
  <c r="J763" i="1"/>
  <c r="J762" i="1"/>
  <c r="J761" i="1"/>
  <c r="J758" i="1"/>
  <c r="J757" i="1" s="1"/>
  <c r="J756" i="1"/>
  <c r="J755" i="1" s="1"/>
  <c r="J754" i="1"/>
  <c r="J753" i="1" s="1"/>
  <c r="J752" i="1"/>
  <c r="J751" i="1"/>
  <c r="J749" i="1"/>
  <c r="J748" i="1"/>
  <c r="J745" i="1"/>
  <c r="J744" i="1"/>
  <c r="J743" i="1"/>
  <c r="J740" i="1"/>
  <c r="J739" i="1" s="1"/>
  <c r="J738" i="1"/>
  <c r="J737" i="1" s="1"/>
  <c r="J736" i="1"/>
  <c r="J735" i="1" s="1"/>
  <c r="J734" i="1"/>
  <c r="J733" i="1"/>
  <c r="J731" i="1"/>
  <c r="J730" i="1" s="1"/>
  <c r="J729" i="1"/>
  <c r="J728" i="1"/>
  <c r="J727" i="1"/>
  <c r="J724" i="1"/>
  <c r="J723" i="1"/>
  <c r="J722" i="1"/>
  <c r="J719" i="1"/>
  <c r="J718" i="1" s="1"/>
  <c r="J717" i="1"/>
  <c r="J716" i="1"/>
  <c r="J715" i="1"/>
  <c r="J713" i="1"/>
  <c r="J712" i="1" s="1"/>
  <c r="J711" i="1"/>
  <c r="J710" i="1"/>
  <c r="J709" i="1"/>
  <c r="J708" i="1"/>
  <c r="J705" i="1"/>
  <c r="J704" i="1"/>
  <c r="J703" i="1"/>
  <c r="J700" i="1"/>
  <c r="J699" i="1" s="1"/>
  <c r="J698" i="1"/>
  <c r="J697" i="1"/>
  <c r="J695" i="1"/>
  <c r="J694" i="1" s="1"/>
  <c r="J693" i="1"/>
  <c r="J692" i="1"/>
  <c r="J691" i="1"/>
  <c r="J690" i="1"/>
  <c r="J687" i="1"/>
  <c r="J686" i="1"/>
  <c r="J685" i="1"/>
  <c r="J682" i="1"/>
  <c r="J681" i="1"/>
  <c r="J680" i="1"/>
  <c r="J677" i="1"/>
  <c r="J676" i="1" s="1"/>
  <c r="J675" i="1"/>
  <c r="J674" i="1" s="1"/>
  <c r="J673" i="1"/>
  <c r="J672" i="1" s="1"/>
  <c r="J671" i="1"/>
  <c r="J670" i="1" s="1"/>
  <c r="J669" i="1"/>
  <c r="J668" i="1" s="1"/>
  <c r="J667" i="1"/>
  <c r="J666" i="1"/>
  <c r="J665" i="1"/>
  <c r="J664" i="1"/>
  <c r="J661" i="1"/>
  <c r="J660" i="1"/>
  <c r="J659" i="1"/>
  <c r="J657" i="1"/>
  <c r="J656" i="1" s="1"/>
  <c r="J655" i="1"/>
  <c r="J654" i="1"/>
  <c r="J653" i="1"/>
  <c r="J652" i="1"/>
  <c r="J650" i="1"/>
  <c r="J649" i="1" s="1"/>
  <c r="J648" i="1"/>
  <c r="J647" i="1"/>
  <c r="J645" i="1"/>
  <c r="J644" i="1"/>
  <c r="J640" i="1"/>
  <c r="J639" i="1"/>
  <c r="J638" i="1"/>
  <c r="J635" i="1"/>
  <c r="J634" i="1" s="1"/>
  <c r="J633" i="1"/>
  <c r="J632" i="1" s="1"/>
  <c r="J631" i="1"/>
  <c r="J630" i="1" s="1"/>
  <c r="J629" i="1"/>
  <c r="J628" i="1"/>
  <c r="J627" i="1"/>
  <c r="J626" i="1"/>
  <c r="J622" i="1"/>
  <c r="J621" i="1"/>
  <c r="J620" i="1"/>
  <c r="J617" i="1"/>
  <c r="J616" i="1" s="1"/>
  <c r="J615" i="1"/>
  <c r="J614" i="1" s="1"/>
  <c r="J613" i="1"/>
  <c r="J612" i="1" s="1"/>
  <c r="J611" i="1"/>
  <c r="J610" i="1"/>
  <c r="J608" i="1"/>
  <c r="J607" i="1"/>
  <c r="J604" i="1"/>
  <c r="J603" i="1"/>
  <c r="J602" i="1"/>
  <c r="J599" i="1"/>
  <c r="J598" i="1" s="1"/>
  <c r="J597" i="1"/>
  <c r="J596" i="1" s="1"/>
  <c r="J595" i="1"/>
  <c r="J594" i="1" s="1"/>
  <c r="J593" i="1"/>
  <c r="J592" i="1"/>
  <c r="J590" i="1"/>
  <c r="J589" i="1"/>
  <c r="J588" i="1"/>
  <c r="J585" i="1"/>
  <c r="J584" i="1"/>
  <c r="J583" i="1"/>
  <c r="J580" i="1"/>
  <c r="J579" i="1" s="1"/>
  <c r="J578" i="1"/>
  <c r="J577" i="1" s="1"/>
  <c r="J576" i="1"/>
  <c r="J575" i="1" s="1"/>
  <c r="J574" i="1"/>
  <c r="J573" i="1"/>
  <c r="J571" i="1"/>
  <c r="J570" i="1"/>
  <c r="J567" i="1"/>
  <c r="J566" i="1"/>
  <c r="J565" i="1"/>
  <c r="J562" i="1"/>
  <c r="J561" i="1" s="1"/>
  <c r="J560" i="1"/>
  <c r="J559" i="1" s="1"/>
  <c r="J558" i="1"/>
  <c r="J557" i="1"/>
  <c r="J555" i="1"/>
  <c r="J554" i="1"/>
  <c r="J551" i="1"/>
  <c r="J550" i="1"/>
  <c r="J549" i="1"/>
  <c r="J546" i="1"/>
  <c r="J545" i="1" s="1"/>
  <c r="J544" i="1"/>
  <c r="J543" i="1" s="1"/>
  <c r="J542" i="1"/>
  <c r="J541" i="1"/>
  <c r="J540" i="1"/>
  <c r="J539" i="1"/>
  <c r="J536" i="1"/>
  <c r="J535" i="1"/>
  <c r="J534" i="1"/>
  <c r="J531" i="1"/>
  <c r="J530" i="1" s="1"/>
  <c r="J529" i="1"/>
  <c r="J528" i="1" s="1"/>
  <c r="J527" i="1"/>
  <c r="J526" i="1" s="1"/>
  <c r="J525" i="1"/>
  <c r="J524" i="1"/>
  <c r="J522" i="1"/>
  <c r="J521" i="1"/>
  <c r="J520" i="1"/>
  <c r="J516" i="1"/>
  <c r="J515" i="1"/>
  <c r="J514" i="1"/>
  <c r="J511" i="1"/>
  <c r="J510" i="1" s="1"/>
  <c r="J509" i="1"/>
  <c r="J508" i="1" s="1"/>
  <c r="J507" i="1"/>
  <c r="J506" i="1"/>
  <c r="J505" i="1"/>
  <c r="J504" i="1"/>
  <c r="J503" i="1"/>
  <c r="J500" i="1"/>
  <c r="J499" i="1"/>
  <c r="J498" i="1"/>
  <c r="J495" i="1"/>
  <c r="J494" i="1" s="1"/>
  <c r="J493" i="1"/>
  <c r="J492" i="1"/>
  <c r="J491" i="1"/>
  <c r="J490" i="1"/>
  <c r="J489" i="1"/>
  <c r="J486" i="1"/>
  <c r="J485" i="1"/>
  <c r="J484" i="1"/>
  <c r="J481" i="1"/>
  <c r="J480" i="1" s="1"/>
  <c r="J479" i="1"/>
  <c r="J478" i="1" s="1"/>
  <c r="J477" i="1"/>
  <c r="J476" i="1" s="1"/>
  <c r="J475" i="1"/>
  <c r="J474" i="1" s="1"/>
  <c r="J473" i="1"/>
  <c r="J472" i="1"/>
  <c r="J471" i="1"/>
  <c r="J470" i="1"/>
  <c r="J469" i="1"/>
  <c r="J466" i="1"/>
  <c r="J465" i="1"/>
  <c r="J464" i="1"/>
  <c r="J461" i="1"/>
  <c r="J460" i="1" s="1"/>
  <c r="J459" i="1"/>
  <c r="J458" i="1" s="1"/>
  <c r="J457" i="1"/>
  <c r="J456" i="1" s="1"/>
  <c r="J455" i="1"/>
  <c r="J454" i="1"/>
  <c r="J453" i="1"/>
  <c r="J452" i="1"/>
  <c r="J451" i="1"/>
  <c r="J447" i="1"/>
  <c r="J446" i="1"/>
  <c r="J445" i="1"/>
  <c r="J444" i="1"/>
  <c r="J443" i="1"/>
  <c r="J442" i="1"/>
  <c r="J440" i="1"/>
  <c r="J439" i="1"/>
  <c r="J438" i="1"/>
  <c r="J436" i="1"/>
  <c r="J435" i="1" s="1"/>
  <c r="J434" i="1"/>
  <c r="J433" i="1" s="1"/>
  <c r="J432" i="1"/>
  <c r="J431" i="1" s="1"/>
  <c r="J430" i="1"/>
  <c r="J429" i="1"/>
  <c r="J428" i="1"/>
  <c r="J427" i="1"/>
  <c r="J426" i="1"/>
  <c r="J425" i="1"/>
  <c r="J422" i="1"/>
  <c r="J421" i="1"/>
  <c r="J420" i="1"/>
  <c r="J418" i="1"/>
  <c r="J417" i="1" s="1"/>
  <c r="J416" i="1"/>
  <c r="J415" i="1" s="1"/>
  <c r="J414" i="1"/>
  <c r="J413" i="1" s="1"/>
  <c r="J412" i="1"/>
  <c r="J411" i="1"/>
  <c r="J409" i="1"/>
  <c r="J408" i="1"/>
  <c r="J407" i="1"/>
  <c r="J404" i="1"/>
  <c r="J403" i="1"/>
  <c r="J402" i="1"/>
  <c r="J401" i="1"/>
  <c r="J400" i="1"/>
  <c r="J399" i="1"/>
  <c r="J397" i="1"/>
  <c r="J396" i="1"/>
  <c r="J395" i="1"/>
  <c r="J393" i="1"/>
  <c r="J392" i="1" s="1"/>
  <c r="J391" i="1"/>
  <c r="J390" i="1" s="1"/>
  <c r="J389" i="1"/>
  <c r="J388" i="1"/>
  <c r="J386" i="1"/>
  <c r="J385" i="1"/>
  <c r="J384" i="1"/>
  <c r="J383" i="1"/>
  <c r="J377" i="1"/>
  <c r="J376" i="1"/>
  <c r="J375" i="1"/>
  <c r="J372" i="1"/>
  <c r="J371" i="1" s="1"/>
  <c r="J370" i="1"/>
  <c r="J369" i="1" s="1"/>
  <c r="J368" i="1"/>
  <c r="J367" i="1" s="1"/>
  <c r="J366" i="1"/>
  <c r="J365" i="1" s="1"/>
  <c r="J364" i="1"/>
  <c r="J363" i="1"/>
  <c r="J362" i="1"/>
  <c r="J361" i="1"/>
  <c r="J360" i="1"/>
  <c r="J357" i="1"/>
  <c r="J356" i="1"/>
  <c r="J355" i="1"/>
  <c r="J352" i="1"/>
  <c r="J351" i="1" s="1"/>
  <c r="J350" i="1"/>
  <c r="J349" i="1" s="1"/>
  <c r="J348" i="1"/>
  <c r="J347" i="1" s="1"/>
  <c r="J346" i="1"/>
  <c r="J345" i="1" s="1"/>
  <c r="J344" i="1"/>
  <c r="J343" i="1"/>
  <c r="J342" i="1"/>
  <c r="J341" i="1"/>
  <c r="J340" i="1"/>
  <c r="J337" i="1"/>
  <c r="J336" i="1"/>
  <c r="J335" i="1"/>
  <c r="J332" i="1"/>
  <c r="J331" i="1" s="1"/>
  <c r="J330" i="1"/>
  <c r="J329" i="1" s="1"/>
  <c r="J328" i="1"/>
  <c r="J327" i="1" s="1"/>
  <c r="J326" i="1"/>
  <c r="J325" i="1"/>
  <c r="J324" i="1"/>
  <c r="J323" i="1"/>
  <c r="J322" i="1"/>
  <c r="J319" i="1"/>
  <c r="J318" i="1"/>
  <c r="J317" i="1"/>
  <c r="J315" i="1"/>
  <c r="J314" i="1"/>
  <c r="J313" i="1"/>
  <c r="J312" i="1"/>
  <c r="J311" i="1"/>
  <c r="J308" i="1"/>
  <c r="J307" i="1"/>
  <c r="J306" i="1"/>
  <c r="J304" i="1"/>
  <c r="J303" i="1" s="1"/>
  <c r="J302" i="1"/>
  <c r="J301" i="1"/>
  <c r="J300" i="1"/>
  <c r="J299" i="1"/>
  <c r="J298" i="1"/>
  <c r="J295" i="1"/>
  <c r="J294" i="1"/>
  <c r="J293" i="1"/>
  <c r="J291" i="1"/>
  <c r="J290" i="1" s="1"/>
  <c r="J289" i="1"/>
  <c r="J288" i="1"/>
  <c r="J287" i="1"/>
  <c r="J286" i="1"/>
  <c r="J285" i="1"/>
  <c r="J282" i="1"/>
  <c r="J281" i="1"/>
  <c r="J280" i="1"/>
  <c r="J278" i="1"/>
  <c r="J277" i="1"/>
  <c r="J276" i="1"/>
  <c r="J275" i="1"/>
  <c r="J272" i="1"/>
  <c r="J271" i="1"/>
  <c r="J270" i="1"/>
  <c r="J267" i="1"/>
  <c r="J266" i="1" s="1"/>
  <c r="J265" i="1"/>
  <c r="J264" i="1" s="1"/>
  <c r="J263" i="1"/>
  <c r="J262" i="1" s="1"/>
  <c r="J261" i="1"/>
  <c r="J260" i="1"/>
  <c r="J259" i="1"/>
  <c r="J258" i="1"/>
  <c r="J254" i="1"/>
  <c r="J253" i="1"/>
  <c r="J252" i="1"/>
  <c r="J249" i="1"/>
  <c r="J248" i="1" s="1"/>
  <c r="J247" i="1"/>
  <c r="J246" i="1" s="1"/>
  <c r="J245" i="1"/>
  <c r="J244" i="1" s="1"/>
  <c r="J243" i="1"/>
  <c r="J242" i="1"/>
  <c r="J241" i="1"/>
  <c r="J240" i="1"/>
  <c r="J237" i="1"/>
  <c r="J236" i="1"/>
  <c r="J235" i="1"/>
  <c r="J232" i="1"/>
  <c r="J231" i="1" s="1"/>
  <c r="J230" i="1"/>
  <c r="J229" i="1" s="1"/>
  <c r="J228" i="1"/>
  <c r="J227" i="1" s="1"/>
  <c r="J226" i="1"/>
  <c r="J225" i="1"/>
  <c r="J224" i="1"/>
  <c r="J223" i="1"/>
  <c r="J220" i="1"/>
  <c r="J219" i="1"/>
  <c r="J218" i="1"/>
  <c r="J215" i="1"/>
  <c r="J214" i="1" s="1"/>
  <c r="J213" i="1"/>
  <c r="J212" i="1" s="1"/>
  <c r="J211" i="1"/>
  <c r="J210" i="1" s="1"/>
  <c r="J209" i="1"/>
  <c r="J208" i="1"/>
  <c r="J206" i="1"/>
  <c r="J205" i="1"/>
  <c r="J202" i="1"/>
  <c r="J201" i="1"/>
  <c r="J200" i="1"/>
  <c r="J197" i="1"/>
  <c r="J196" i="1" s="1"/>
  <c r="J195" i="1"/>
  <c r="J194" i="1" s="1"/>
  <c r="J193" i="1"/>
  <c r="J192" i="1" s="1"/>
  <c r="J191" i="1"/>
  <c r="J190" i="1"/>
  <c r="J188" i="1"/>
  <c r="J187" i="1"/>
  <c r="J184" i="1"/>
  <c r="J183" i="1"/>
  <c r="J182" i="1"/>
  <c r="J179" i="1"/>
  <c r="J178" i="1" s="1"/>
  <c r="J177" i="1"/>
  <c r="J176" i="1" s="1"/>
  <c r="J175" i="1"/>
  <c r="J174" i="1" s="1"/>
  <c r="J173" i="1"/>
  <c r="J172" i="1"/>
  <c r="J170" i="1"/>
  <c r="J169" i="1" s="1"/>
  <c r="J168" i="1"/>
  <c r="J167" i="1"/>
  <c r="J166" i="1"/>
  <c r="J163" i="1"/>
  <c r="J162" i="1"/>
  <c r="J161" i="1"/>
  <c r="J159" i="1"/>
  <c r="J158" i="1" s="1"/>
  <c r="J157" i="1"/>
  <c r="J156" i="1" s="1"/>
  <c r="J155" i="1"/>
  <c r="J154" i="1"/>
  <c r="J153" i="1"/>
  <c r="J152" i="1"/>
  <c r="J149" i="1"/>
  <c r="J148" i="1"/>
  <c r="J147" i="1"/>
  <c r="J145" i="1"/>
  <c r="J144" i="1" s="1"/>
  <c r="J143" i="1"/>
  <c r="J142" i="1" s="1"/>
  <c r="J141" i="1"/>
  <c r="J140" i="1"/>
  <c r="J138" i="1"/>
  <c r="J137" i="1"/>
  <c r="J136" i="1"/>
  <c r="J135" i="1"/>
  <c r="J132" i="1"/>
  <c r="J131" i="1"/>
  <c r="J130" i="1"/>
  <c r="J127" i="1"/>
  <c r="J126" i="1" s="1"/>
  <c r="J125" i="1"/>
  <c r="J124" i="1" s="1"/>
  <c r="J123" i="1"/>
  <c r="J122" i="1"/>
  <c r="J121" i="1"/>
  <c r="J120" i="1"/>
  <c r="J119" i="1"/>
  <c r="J118" i="1"/>
  <c r="J114" i="1"/>
  <c r="J113" i="1"/>
  <c r="J112" i="1"/>
  <c r="J110" i="1"/>
  <c r="J109" i="1" s="1"/>
  <c r="J108" i="1"/>
  <c r="J107" i="1" s="1"/>
  <c r="J106" i="1"/>
  <c r="J105" i="1"/>
  <c r="J104" i="1"/>
  <c r="J102" i="1"/>
  <c r="J101" i="1"/>
  <c r="J100" i="1"/>
  <c r="J94" i="1"/>
  <c r="J93" i="1"/>
  <c r="J92" i="1"/>
  <c r="J90" i="1"/>
  <c r="J89" i="1" s="1"/>
  <c r="J88" i="1"/>
  <c r="J87" i="1" s="1"/>
  <c r="J86" i="1"/>
  <c r="J85" i="1"/>
  <c r="J83" i="1"/>
  <c r="J82" i="1"/>
  <c r="J79" i="1"/>
  <c r="J78" i="1"/>
  <c r="J77" i="1"/>
  <c r="J75" i="1"/>
  <c r="J74" i="1" s="1"/>
  <c r="J73" i="1"/>
  <c r="J72" i="1" s="1"/>
  <c r="J71" i="1"/>
  <c r="J70" i="1"/>
  <c r="J68" i="1"/>
  <c r="J67" i="1" s="1"/>
  <c r="J66" i="1"/>
  <c r="J65" i="1"/>
  <c r="J62" i="1"/>
  <c r="J61" i="1" s="1"/>
  <c r="J60" i="1"/>
  <c r="J59" i="1" s="1"/>
  <c r="J58" i="1"/>
  <c r="J57" i="1"/>
  <c r="J55" i="1"/>
  <c r="J54" i="1" s="1"/>
  <c r="J53" i="1"/>
  <c r="J52" i="1"/>
  <c r="J49" i="1"/>
  <c r="J48" i="1"/>
  <c r="J47" i="1"/>
  <c r="J45" i="1"/>
  <c r="J44" i="1"/>
  <c r="J42" i="1"/>
  <c r="J41" i="1" s="1"/>
  <c r="J40" i="1"/>
  <c r="J39" i="1"/>
  <c r="J37" i="1"/>
  <c r="J36" i="1" s="1"/>
  <c r="J35" i="1"/>
  <c r="J34" i="1"/>
  <c r="J28" i="1"/>
  <c r="J27" i="1"/>
  <c r="J26" i="1"/>
  <c r="J22" i="1"/>
  <c r="J21" i="1" s="1"/>
  <c r="J20" i="1" s="1"/>
  <c r="G6" i="6"/>
  <c r="J696" i="1" l="1"/>
  <c r="J750" i="1"/>
  <c r="J732" i="1"/>
  <c r="J519" i="1"/>
  <c r="J533" i="1"/>
  <c r="J532" i="1" s="1"/>
  <c r="J582" i="1"/>
  <c r="J581" i="1" s="1"/>
  <c r="J658" i="1"/>
  <c r="J33" i="1"/>
  <c r="J523" i="1"/>
  <c r="J572" i="1"/>
  <c r="J111" i="1"/>
  <c r="J189" i="1"/>
  <c r="J387" i="1"/>
  <c r="J609" i="1"/>
  <c r="J646" i="1"/>
  <c r="J139" i="1"/>
  <c r="J165" i="1"/>
  <c r="J171" i="1"/>
  <c r="J186" i="1"/>
  <c r="J207" i="1"/>
  <c r="J482" i="1"/>
  <c r="J548" i="1"/>
  <c r="J547" i="1" s="1"/>
  <c r="J564" i="1"/>
  <c r="J563" i="1" s="1"/>
  <c r="J591" i="1"/>
  <c r="J606" i="1"/>
  <c r="J619" i="1"/>
  <c r="J618" i="1" s="1"/>
  <c r="J689" i="1"/>
  <c r="J702" i="1"/>
  <c r="J701" i="1" s="1"/>
  <c r="J714" i="1"/>
  <c r="J741" i="1"/>
  <c r="J786" i="1"/>
  <c r="J794" i="1"/>
  <c r="I855" i="1"/>
  <c r="J274" i="1"/>
  <c r="J297" i="1"/>
  <c r="J43" i="1"/>
  <c r="J64" i="1"/>
  <c r="J84" i="1"/>
  <c r="J91" i="1"/>
  <c r="J198" i="1"/>
  <c r="J233" i="1"/>
  <c r="J269" i="1"/>
  <c r="J268" i="1" s="1"/>
  <c r="J292" i="1"/>
  <c r="J334" i="1"/>
  <c r="J333" i="1" s="1"/>
  <c r="J406" i="1"/>
  <c r="J419" i="1"/>
  <c r="J468" i="1"/>
  <c r="J726" i="1"/>
  <c r="J806" i="1"/>
  <c r="J818" i="1"/>
  <c r="J69" i="1"/>
  <c r="J204" i="1"/>
  <c r="J134" i="1"/>
  <c r="J46" i="1"/>
  <c r="J81" i="1"/>
  <c r="J117" i="1"/>
  <c r="J116" i="1" s="1"/>
  <c r="J128" i="1"/>
  <c r="J160" i="1"/>
  <c r="J180" i="1"/>
  <c r="J216" i="1"/>
  <c r="J251" i="1"/>
  <c r="J250" i="1" s="1"/>
  <c r="J284" i="1"/>
  <c r="J496" i="1"/>
  <c r="J538" i="1"/>
  <c r="J587" i="1"/>
  <c r="J601" i="1"/>
  <c r="J600" i="1" s="1"/>
  <c r="J637" i="1"/>
  <c r="J636" i="1" s="1"/>
  <c r="J651" i="1"/>
  <c r="J663" i="1"/>
  <c r="J684" i="1"/>
  <c r="J683" i="1" s="1"/>
  <c r="J765" i="1"/>
  <c r="J778" i="1"/>
  <c r="J798" i="1"/>
  <c r="J874" i="1"/>
  <c r="J38" i="1"/>
  <c r="J56" i="1"/>
  <c r="J146" i="1"/>
  <c r="J25" i="1"/>
  <c r="J24" i="1" s="1"/>
  <c r="J23" i="1" s="1"/>
  <c r="J19" i="1" s="1"/>
  <c r="J18" i="1" s="1"/>
  <c r="J17" i="1" s="1"/>
  <c r="J76" i="1"/>
  <c r="J239" i="1"/>
  <c r="J279" i="1"/>
  <c r="J339" i="1"/>
  <c r="J410" i="1"/>
  <c r="J553" i="1"/>
  <c r="J823" i="1"/>
  <c r="J822" i="1" s="1"/>
  <c r="J852" i="1"/>
  <c r="J849" i="1" s="1"/>
  <c r="J222" i="1"/>
  <c r="J257" i="1"/>
  <c r="J305" i="1"/>
  <c r="J310" i="1"/>
  <c r="J316" i="1"/>
  <c r="J354" i="1"/>
  <c r="J353" i="1" s="1"/>
  <c r="J382" i="1"/>
  <c r="J394" i="1"/>
  <c r="J441" i="1"/>
  <c r="J810" i="1"/>
  <c r="J871" i="1"/>
  <c r="J870" i="1" s="1"/>
  <c r="J359" i="1"/>
  <c r="J625" i="1"/>
  <c r="J679" i="1"/>
  <c r="J678" i="1" s="1"/>
  <c r="J759" i="1"/>
  <c r="J321" i="1"/>
  <c r="J374" i="1"/>
  <c r="J373" i="1" s="1"/>
  <c r="J512" i="1"/>
  <c r="J569" i="1"/>
  <c r="J707" i="1"/>
  <c r="J747" i="1"/>
  <c r="J99" i="1"/>
  <c r="J398" i="1"/>
  <c r="J51" i="1"/>
  <c r="J424" i="1"/>
  <c r="J437" i="1"/>
  <c r="J450" i="1"/>
  <c r="J463" i="1"/>
  <c r="J462" i="1" s="1"/>
  <c r="J488" i="1"/>
  <c r="J487" i="1" s="1"/>
  <c r="J502" i="1"/>
  <c r="J556" i="1"/>
  <c r="J643" i="1"/>
  <c r="J721" i="1"/>
  <c r="J720" i="1" s="1"/>
  <c r="J790" i="1"/>
  <c r="J802" i="1"/>
  <c r="J838" i="1"/>
  <c r="J856" i="1"/>
  <c r="J855" i="1" s="1"/>
  <c r="J151" i="1"/>
  <c r="I706" i="1"/>
  <c r="I50" i="1"/>
  <c r="I309" i="1"/>
  <c r="J203" i="1"/>
  <c r="I746" i="1"/>
  <c r="I164" i="1"/>
  <c r="I238" i="1"/>
  <c r="I467" i="1"/>
  <c r="I133" i="1"/>
  <c r="I256" i="1"/>
  <c r="I338" i="1"/>
  <c r="I32" i="1"/>
  <c r="I869" i="1"/>
  <c r="I115" i="1"/>
  <c r="I185" i="1"/>
  <c r="I552" i="1"/>
  <c r="I829" i="1"/>
  <c r="I828" i="1" s="1"/>
  <c r="I358" i="1"/>
  <c r="I221" i="1"/>
  <c r="I296" i="1"/>
  <c r="I423" i="1"/>
  <c r="I501" i="1"/>
  <c r="I537" i="1"/>
  <c r="I605" i="1"/>
  <c r="I642" i="1"/>
  <c r="I725" i="1"/>
  <c r="J829" i="1"/>
  <c r="I19" i="1"/>
  <c r="I18" i="1" s="1"/>
  <c r="I17" i="1" s="1"/>
  <c r="I662" i="1"/>
  <c r="I80" i="1"/>
  <c r="I98" i="1"/>
  <c r="I203" i="1"/>
  <c r="I283" i="1"/>
  <c r="I405" i="1"/>
  <c r="I487" i="1"/>
  <c r="I586" i="1"/>
  <c r="I688" i="1"/>
  <c r="I63" i="1"/>
  <c r="I150" i="1"/>
  <c r="I273" i="1"/>
  <c r="I320" i="1"/>
  <c r="I381" i="1"/>
  <c r="I449" i="1"/>
  <c r="I518" i="1"/>
  <c r="I568" i="1"/>
  <c r="I624" i="1"/>
  <c r="I623" i="1" s="1"/>
  <c r="I764" i="1"/>
  <c r="I785" i="1"/>
  <c r="I784" i="1" s="1"/>
  <c r="I849" i="1"/>
  <c r="H406" i="1"/>
  <c r="H405" i="1" s="1"/>
  <c r="H46" i="1"/>
  <c r="H146" i="1"/>
  <c r="H512" i="1"/>
  <c r="H601" i="1"/>
  <c r="H600" i="1" s="1"/>
  <c r="H702" i="1"/>
  <c r="H701" i="1" s="1"/>
  <c r="H688" i="1" s="1"/>
  <c r="H111" i="1"/>
  <c r="H269" i="1"/>
  <c r="H268" i="1" s="1"/>
  <c r="H316" i="1"/>
  <c r="H339" i="1"/>
  <c r="H359" i="1"/>
  <c r="H441" i="1"/>
  <c r="H463" i="1"/>
  <c r="H462" i="1" s="1"/>
  <c r="H488" i="1"/>
  <c r="H569" i="1"/>
  <c r="H790" i="1"/>
  <c r="H806" i="1"/>
  <c r="H818" i="1"/>
  <c r="H33" i="1"/>
  <c r="H91" i="1"/>
  <c r="H233" i="1"/>
  <c r="H221" i="1" s="1"/>
  <c r="H251" i="1"/>
  <c r="H250" i="1" s="1"/>
  <c r="H292" i="1"/>
  <c r="H283" i="1" s="1"/>
  <c r="H553" i="1"/>
  <c r="H572" i="1"/>
  <c r="H606" i="1"/>
  <c r="H643" i="1"/>
  <c r="H658" i="1"/>
  <c r="H679" i="1"/>
  <c r="H678" i="1" s="1"/>
  <c r="H750" i="1"/>
  <c r="H746" i="1" s="1"/>
  <c r="H164" i="1"/>
  <c r="H321" i="1"/>
  <c r="H25" i="1"/>
  <c r="H24" i="1" s="1"/>
  <c r="H23" i="1" s="1"/>
  <c r="H19" i="1" s="1"/>
  <c r="H18" i="1" s="1"/>
  <c r="H17" i="1" s="1"/>
  <c r="H76" i="1"/>
  <c r="H63" i="1" s="1"/>
  <c r="H151" i="1"/>
  <c r="H160" i="1"/>
  <c r="H198" i="1"/>
  <c r="H239" i="1"/>
  <c r="H334" i="1"/>
  <c r="H333" i="1" s="1"/>
  <c r="H354" i="1"/>
  <c r="H353" i="1" s="1"/>
  <c r="H374" i="1"/>
  <c r="H373" i="1" s="1"/>
  <c r="H398" i="1"/>
  <c r="H437" i="1"/>
  <c r="H468" i="1"/>
  <c r="H467" i="1" s="1"/>
  <c r="H496" i="1"/>
  <c r="H519" i="1"/>
  <c r="H591" i="1"/>
  <c r="H651" i="1"/>
  <c r="H663" i="1"/>
  <c r="H707" i="1"/>
  <c r="H732" i="1"/>
  <c r="H741" i="1"/>
  <c r="H786" i="1"/>
  <c r="H802" i="1"/>
  <c r="H869" i="1"/>
  <c r="H189" i="1"/>
  <c r="H274" i="1"/>
  <c r="H273" i="1" s="1"/>
  <c r="H310" i="1"/>
  <c r="H382" i="1"/>
  <c r="H502" i="1"/>
  <c r="H523" i="1"/>
  <c r="H714" i="1"/>
  <c r="H726" i="1"/>
  <c r="H849" i="1"/>
  <c r="H43" i="1"/>
  <c r="H84" i="1"/>
  <c r="H99" i="1"/>
  <c r="H117" i="1"/>
  <c r="H116" i="1" s="1"/>
  <c r="H115" i="1" s="1"/>
  <c r="H134" i="1"/>
  <c r="H139" i="1"/>
  <c r="H207" i="1"/>
  <c r="H203" i="1" s="1"/>
  <c r="H257" i="1"/>
  <c r="H297" i="1"/>
  <c r="H296" i="1" s="1"/>
  <c r="H394" i="1"/>
  <c r="H424" i="1"/>
  <c r="H450" i="1"/>
  <c r="H538" i="1"/>
  <c r="H537" i="1" s="1"/>
  <c r="H564" i="1"/>
  <c r="H563" i="1" s="1"/>
  <c r="H582" i="1"/>
  <c r="H581" i="1" s="1"/>
  <c r="H587" i="1"/>
  <c r="H619" i="1"/>
  <c r="H618" i="1" s="1"/>
  <c r="H646" i="1"/>
  <c r="H765" i="1"/>
  <c r="H778" i="1"/>
  <c r="H798" i="1"/>
  <c r="H838" i="1"/>
  <c r="H856" i="1"/>
  <c r="H855" i="1" s="1"/>
  <c r="H50" i="1"/>
  <c r="H624" i="1"/>
  <c r="H623" i="1" s="1"/>
  <c r="H829" i="1"/>
  <c r="J501" i="1" l="1"/>
  <c r="J624" i="1"/>
  <c r="J623" i="1" s="1"/>
  <c r="J80" i="1"/>
  <c r="J518" i="1"/>
  <c r="J133" i="1"/>
  <c r="J115" i="1"/>
  <c r="J221" i="1"/>
  <c r="J764" i="1"/>
  <c r="J688" i="1"/>
  <c r="J50" i="1"/>
  <c r="J320" i="1"/>
  <c r="J449" i="1"/>
  <c r="J185" i="1"/>
  <c r="J725" i="1"/>
  <c r="J537" i="1"/>
  <c r="J273" i="1"/>
  <c r="J642" i="1"/>
  <c r="J568" i="1"/>
  <c r="J869" i="1"/>
  <c r="J605" i="1"/>
  <c r="J150" i="1"/>
  <c r="J98" i="1"/>
  <c r="J256" i="1"/>
  <c r="J405" i="1"/>
  <c r="J164" i="1"/>
  <c r="J63" i="1"/>
  <c r="J467" i="1"/>
  <c r="J296" i="1"/>
  <c r="J552" i="1"/>
  <c r="J381" i="1"/>
  <c r="J338" i="1"/>
  <c r="J706" i="1"/>
  <c r="J358" i="1"/>
  <c r="J309" i="1"/>
  <c r="J283" i="1"/>
  <c r="J32" i="1"/>
  <c r="J746" i="1"/>
  <c r="J662" i="1"/>
  <c r="J586" i="1"/>
  <c r="J238" i="1"/>
  <c r="J423" i="1"/>
  <c r="J828" i="1"/>
  <c r="J785" i="1"/>
  <c r="J784" i="1" s="1"/>
  <c r="I641" i="1"/>
  <c r="H449" i="1"/>
  <c r="H320" i="1"/>
  <c r="I31" i="1"/>
  <c r="I30" i="1" s="1"/>
  <c r="I29" i="1" s="1"/>
  <c r="I255" i="1"/>
  <c r="I827" i="1"/>
  <c r="I783" i="1" s="1"/>
  <c r="I782" i="1" s="1"/>
  <c r="I97" i="1"/>
  <c r="H642" i="1"/>
  <c r="H309" i="1"/>
  <c r="H238" i="1"/>
  <c r="H501" i="1"/>
  <c r="I448" i="1"/>
  <c r="H725" i="1"/>
  <c r="H150" i="1"/>
  <c r="I517" i="1"/>
  <c r="H605" i="1"/>
  <c r="H662" i="1"/>
  <c r="H487" i="1"/>
  <c r="I380" i="1"/>
  <c r="H706" i="1"/>
  <c r="H764" i="1"/>
  <c r="H552" i="1"/>
  <c r="H828" i="1"/>
  <c r="H827" i="1" s="1"/>
  <c r="H256" i="1"/>
  <c r="H185" i="1"/>
  <c r="H80" i="1"/>
  <c r="H32" i="1"/>
  <c r="H338" i="1"/>
  <c r="H133" i="1"/>
  <c r="H586" i="1"/>
  <c r="H785" i="1"/>
  <c r="H784" i="1" s="1"/>
  <c r="H518" i="1"/>
  <c r="H381" i="1"/>
  <c r="H568" i="1"/>
  <c r="H423" i="1"/>
  <c r="H98" i="1"/>
  <c r="H358" i="1"/>
  <c r="J448" i="1" l="1"/>
  <c r="I96" i="1"/>
  <c r="I95" i="1" s="1"/>
  <c r="J97" i="1"/>
  <c r="J827" i="1"/>
  <c r="J783" i="1" s="1"/>
  <c r="J782" i="1" s="1"/>
  <c r="J31" i="1"/>
  <c r="J30" i="1" s="1"/>
  <c r="J29" i="1" s="1"/>
  <c r="J380" i="1"/>
  <c r="J517" i="1"/>
  <c r="J255" i="1"/>
  <c r="J641" i="1"/>
  <c r="I379" i="1"/>
  <c r="I378" i="1" s="1"/>
  <c r="H448" i="1"/>
  <c r="H641" i="1"/>
  <c r="H783" i="1"/>
  <c r="H782" i="1" s="1"/>
  <c r="H31" i="1"/>
  <c r="H30" i="1" s="1"/>
  <c r="H29" i="1" s="1"/>
  <c r="H517" i="1"/>
  <c r="H255" i="1"/>
  <c r="H380" i="1"/>
  <c r="H97" i="1"/>
  <c r="I16" i="1" l="1"/>
  <c r="I15" i="1" s="1"/>
  <c r="J96" i="1"/>
  <c r="J95" i="1" s="1"/>
  <c r="J379" i="1"/>
  <c r="J378" i="1" s="1"/>
  <c r="H96" i="1"/>
  <c r="H95" i="1" s="1"/>
  <c r="H379" i="1"/>
  <c r="H378" i="1" s="1"/>
  <c r="J16" i="1" l="1"/>
  <c r="J15" i="1" s="1"/>
  <c r="H16" i="1"/>
  <c r="H15" i="1" s="1"/>
  <c r="C34" i="2" l="1"/>
  <c r="G5" i="6"/>
  <c r="G4" i="6"/>
  <c r="G3" i="6"/>
  <c r="D32" i="2"/>
  <c r="G32" i="2" s="1"/>
  <c r="G30" i="2"/>
  <c r="D3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<sst xmlns="http://schemas.openxmlformats.org/spreadsheetml/2006/main" count="3827" uniqueCount="1396">
  <si>
    <t>Program Riset dan Sumber Daya Manusia Kelautan dan Perikanan</t>
  </si>
  <si>
    <t/>
  </si>
  <si>
    <t>2376</t>
  </si>
  <si>
    <t>Pendidikan Kelautan dan Perikanan</t>
  </si>
  <si>
    <t>2376.003</t>
  </si>
  <si>
    <t>Sarana Prasarana Pendidikan KP_x000D_[Base Line]</t>
  </si>
  <si>
    <t>Unit</t>
  </si>
  <si>
    <t>2376.003.001</t>
  </si>
  <si>
    <t>Sarana Prasarana Pendidikan KP</t>
  </si>
  <si>
    <t xml:space="preserve">   051</t>
  </si>
  <si>
    <t>Pengadaan Sarana dan Prasarana Pendidikan KP</t>
  </si>
  <si>
    <t xml:space="preserve">      A</t>
  </si>
  <si>
    <t>Peralatan dan Meubelair Pendidikan KP</t>
  </si>
  <si>
    <t xml:space="preserve">     532111</t>
  </si>
  <si>
    <t>Belanja Modal Peralatan dan Mesin</t>
  </si>
  <si>
    <t xml:space="preserve">    -     Peralatan Praktek dan Meubelair Asrama</t>
  </si>
  <si>
    <t>PAKET</t>
  </si>
  <si>
    <t xml:space="preserve">      B</t>
  </si>
  <si>
    <t>Gedung dan Bangunan Pendidikan KP</t>
  </si>
  <si>
    <t xml:space="preserve">     533111</t>
  </si>
  <si>
    <t>Belanja Modal Gedung dan Bangunan</t>
  </si>
  <si>
    <t>&gt;     Gedung Asrama Pendidikan KP</t>
  </si>
  <si>
    <t xml:space="preserve">    -     Pembangunan Gedung Asrama</t>
  </si>
  <si>
    <t>M2</t>
  </si>
  <si>
    <t xml:space="preserve">    -     Pengawasan Pembangunan Gedung Asrama</t>
  </si>
  <si>
    <t xml:space="preserve">    -     Pengelolaan Kegiatan</t>
  </si>
  <si>
    <t>2376.004</t>
  </si>
  <si>
    <t>Pendidikan Aparatur KKP_x000D_[Base Line]</t>
  </si>
  <si>
    <t>Orang</t>
  </si>
  <si>
    <t>2376.004.001</t>
  </si>
  <si>
    <t>Pendidikan Aparatur KKP</t>
  </si>
  <si>
    <t>Pendidikan Gelar Tugas Belajar dan Izin Belajar</t>
  </si>
  <si>
    <t>Tugas Belajar Baru</t>
  </si>
  <si>
    <t xml:space="preserve">     521211</t>
  </si>
  <si>
    <t>Belanja Bahan</t>
  </si>
  <si>
    <t xml:space="preserve">    -     Konsumsi/bahan makanan</t>
  </si>
  <si>
    <t>OK</t>
  </si>
  <si>
    <t xml:space="preserve">    -     Penggandaan</t>
  </si>
  <si>
    <t xml:space="preserve">     521219</t>
  </si>
  <si>
    <t>Belanja Barang Non Operasional Lainnya</t>
  </si>
  <si>
    <t xml:space="preserve">    -     Dukungan Penyelenggaraan Tugas Belajar</t>
  </si>
  <si>
    <t xml:space="preserve">     521811</t>
  </si>
  <si>
    <t>Belanja Barang Persediaan Barang Konsumsi</t>
  </si>
  <si>
    <t xml:space="preserve">    -     Bahan Komputer</t>
  </si>
  <si>
    <t>PKT</t>
  </si>
  <si>
    <t xml:space="preserve">    -     ATK</t>
  </si>
  <si>
    <t xml:space="preserve">     522151</t>
  </si>
  <si>
    <t>Belanja Jasa Profesi</t>
  </si>
  <si>
    <t xml:space="preserve">    -     Narasumber/Pembahas</t>
  </si>
  <si>
    <t>OJ</t>
  </si>
  <si>
    <t xml:space="preserve">     524111</t>
  </si>
  <si>
    <t>Belanja Perjalanan Dinas Biasa</t>
  </si>
  <si>
    <t xml:space="preserve">    -     Perjalanan Peserta Tugas Belajar</t>
  </si>
  <si>
    <t xml:space="preserve">    -     Perjalanan Koordinasi dan pengadministrasian Tugas Belajar</t>
  </si>
  <si>
    <t xml:space="preserve">     524114</t>
  </si>
  <si>
    <t>Belanja Perjalanan Dinas Paket Meeting Dalam Kota</t>
  </si>
  <si>
    <t xml:space="preserve">    -     Uang Saku dan Transport Rapat Dalam Kantor Gol IV</t>
  </si>
  <si>
    <t xml:space="preserve">    -     Uang Saku dan Transport Rapat Dalam Kantor Gol III</t>
  </si>
  <si>
    <t xml:space="preserve">    -     Uang Saku dan Transport Rapat Dalam Kantor Gol II</t>
  </si>
  <si>
    <t>Tugas Belajar Luar Negeri</t>
  </si>
  <si>
    <t xml:space="preserve">    -     Konsumsi/bahan makan</t>
  </si>
  <si>
    <t xml:space="preserve">    -     Dukungan Penyelenggaraan Tugas Belajar Luar Negeri</t>
  </si>
  <si>
    <t xml:space="preserve">     524219</t>
  </si>
  <si>
    <t>Belanja Perjalanan Dinas Lainnya - Luar Negeri</t>
  </si>
  <si>
    <t xml:space="preserve">    -     Perjalanan peserta tugas belajar, Koordinasi dan Pendampingan tugas belajar</t>
  </si>
  <si>
    <t xml:space="preserve">      C</t>
  </si>
  <si>
    <t>Lanjutan Tugas Belajar</t>
  </si>
  <si>
    <t xml:space="preserve">    -     Dukungan Lanjutan Tugas Belajar</t>
  </si>
  <si>
    <t xml:space="preserve">      D</t>
  </si>
  <si>
    <t>Penyusunan Rekomendasi Izin Belajar PNS KKP</t>
  </si>
  <si>
    <t xml:space="preserve">    -     Perjalanan Koordinasi dan Evaluasi Ijin Belajar</t>
  </si>
  <si>
    <t>2376.966</t>
  </si>
  <si>
    <t>Layanan Pendidikan dan Pelatihan_x000D_[Base Line]</t>
  </si>
  <si>
    <t>Layanan</t>
  </si>
  <si>
    <t>2376.966.001</t>
  </si>
  <si>
    <t>Layanan Pendidikan KP</t>
  </si>
  <si>
    <t>Standardisasi dan sertifikasi</t>
  </si>
  <si>
    <t>Bimbingan dan Pembinaan Metode dan Kurikulum</t>
  </si>
  <si>
    <t xml:space="preserve">    -     &gt;  Konsumsi/Bahan Makan</t>
  </si>
  <si>
    <t xml:space="preserve">    -     Rapat persiapan</t>
  </si>
  <si>
    <t xml:space="preserve">    -     Rapat pembahasan Satuan Pendidikan Menengah KP</t>
  </si>
  <si>
    <t xml:space="preserve">    -     Rapat pembahasan Satuan Pendidikan Tinggi</t>
  </si>
  <si>
    <t xml:space="preserve">    -     Narasumber/Praktisi/Pembicara Khusus/Pembahas</t>
  </si>
  <si>
    <t xml:space="preserve">    -     Perjalanan Bimbingan dan Pembinaan Metode dan Kurikulum</t>
  </si>
  <si>
    <t>Penyusunan NSPK Metode dan Kurikulum</t>
  </si>
  <si>
    <t>&gt; Konsumsi/bahan makanan</t>
  </si>
  <si>
    <t xml:space="preserve">    -     Rapat pembahasan Pedoman Pendidikan Menengah</t>
  </si>
  <si>
    <t xml:space="preserve">    -     Rapat Pembahasan Pedoman Pendidikan Tinggi</t>
  </si>
  <si>
    <t xml:space="preserve">    -     Bahan  Komputer</t>
  </si>
  <si>
    <t xml:space="preserve">    -     Fasilitasi/koordinasi Penyusunan NSPK</t>
  </si>
  <si>
    <t>&gt; RDK</t>
  </si>
  <si>
    <t>Pembinaan Pelaksanaan Kewirausahaan</t>
  </si>
  <si>
    <t xml:space="preserve">    -     Konsumsi/Bahan Makanan Rapat</t>
  </si>
  <si>
    <t xml:space="preserve">    -     Dukungan Kompetisi Kewirausahaan Penddidikan Menengah</t>
  </si>
  <si>
    <t xml:space="preserve">    -     Dukungan Kompetisi Kewirausahaan Penddidikan Tinggi</t>
  </si>
  <si>
    <t xml:space="preserve">    -     Perjalanan Pembinaan Pelaksanaan Kewirausahaan</t>
  </si>
  <si>
    <t>Pembinaan Pelaksanaan TEFA</t>
  </si>
  <si>
    <t xml:space="preserve">    -     Perjalanan Pembinaan Pelaksanaan Tefa</t>
  </si>
  <si>
    <t xml:space="preserve">      E</t>
  </si>
  <si>
    <t>Pembentukan Kelembagaan Pendidikan KP</t>
  </si>
  <si>
    <t xml:space="preserve">    -     Cetakan</t>
  </si>
  <si>
    <t>TAHUN</t>
  </si>
  <si>
    <t xml:space="preserve">    -     Dukungan Pembentukan Kelembagaan</t>
  </si>
  <si>
    <t xml:space="preserve">    -     Perjalanan Pembentukan Kelembagaan</t>
  </si>
  <si>
    <t xml:space="preserve">     524113</t>
  </si>
  <si>
    <t>Belanja Perjalanan Dinas Dalam Kota</t>
  </si>
  <si>
    <t xml:space="preserve">    -     Transport Lokal</t>
  </si>
  <si>
    <t>&gt;     RDK</t>
  </si>
  <si>
    <t xml:space="preserve">      F</t>
  </si>
  <si>
    <t>Akreditasi Pada Satuan Pendidikan KP</t>
  </si>
  <si>
    <t xml:space="preserve">    -     Perjalanan  Akreditasi Pada Satuan Pendidikan KP</t>
  </si>
  <si>
    <t xml:space="preserve">      G</t>
  </si>
  <si>
    <t>Penjaminan Mutu Kelembagaan Pendidikan KP</t>
  </si>
  <si>
    <t xml:space="preserve">    -     Perjalanan Koordinasi dan Penyusunan Dokumen Penjaminan Mutu</t>
  </si>
  <si>
    <t xml:space="preserve">      H</t>
  </si>
  <si>
    <t>Penyusunan NSPK Bidang Kelembagaan Pendidikan</t>
  </si>
  <si>
    <t xml:space="preserve">    -     Perjalanan Penyusunan NSPK Bidang Kelembagaan Pendidikan</t>
  </si>
  <si>
    <t xml:space="preserve">      I</t>
  </si>
  <si>
    <t>Kerjasama Pendidikan KP</t>
  </si>
  <si>
    <t xml:space="preserve">    -     Perjalanan Kerjasama Pendidikan KP</t>
  </si>
  <si>
    <t xml:space="preserve">   053</t>
  </si>
  <si>
    <t>Dukungan Pendidikan Vokasi KP</t>
  </si>
  <si>
    <t>Penerimaan dan Penetapan Terpusat Peserta Didik Lingkup KKP</t>
  </si>
  <si>
    <t xml:space="preserve">    -     Sosialisasi dan Publikasi</t>
  </si>
  <si>
    <t xml:space="preserve">    -     Narasumber/Pembahas/Praktisi</t>
  </si>
  <si>
    <t xml:space="preserve">    -     Perjalanan Koordinasi/Monitoring Penerimaan dan Penetapan</t>
  </si>
  <si>
    <t>Wisuda dan Pelantikan Peserta Didik Lingkup KKP</t>
  </si>
  <si>
    <t>Penyusunan Data Peserta Didik dan Sarana Prasarana Pendidikan</t>
  </si>
  <si>
    <t xml:space="preserve">    -     Perjalanan koordinasi sarana dan prasarana pendidikan KP</t>
  </si>
  <si>
    <t>Penyusunan NSPK Peserta Didik, Sarana dan Prasarana</t>
  </si>
  <si>
    <t xml:space="preserve">    -     Perjalanan Koordinasi Penyusunan NSPK</t>
  </si>
  <si>
    <t>Serapan Lulusan Satuan Pendidikan Lingkup KKP</t>
  </si>
  <si>
    <t>Evaluasi Beban Kerja Guru dan Dosen</t>
  </si>
  <si>
    <t xml:space="preserve">    -     Dokumentasi</t>
  </si>
  <si>
    <t xml:space="preserve">    -     Dukungan Pelaksanaan Evaluasi Beban Kerja Guru dan Dosen</t>
  </si>
  <si>
    <t>Kompetensi Pendidik dan Tenaga Kependidikan</t>
  </si>
  <si>
    <t xml:space="preserve">    -     Komputer Suplies</t>
  </si>
  <si>
    <t xml:space="preserve">    -     Dukungan Kompetensi Pendidik dan Tenaga Kependidikan</t>
  </si>
  <si>
    <t xml:space="preserve">    -     Perjalanan Kompetensi Pendidik dan Tenaga Kependidikan</t>
  </si>
  <si>
    <t>Penyusunan NSPK Ketenagaan</t>
  </si>
  <si>
    <t xml:space="preserve">    -     Dukungan Penyusunan NSPK Ketenagaan</t>
  </si>
  <si>
    <t>THN</t>
  </si>
  <si>
    <t xml:space="preserve">    -     Perjalanan Dukungan Penyusunan NSPK Ketenagaan</t>
  </si>
  <si>
    <t>2376.970</t>
  </si>
  <si>
    <t>Layanan Dukungan Manajemen Satker_x000D_[Base Line]</t>
  </si>
  <si>
    <t>2376.970.001</t>
  </si>
  <si>
    <t>Layanan Dukungan Manajemen Satker</t>
  </si>
  <si>
    <t>Penyusunan rencana program dan Penyusunan rencana anggaran</t>
  </si>
  <si>
    <t>Penyusunan Bahan Kebijakan dan Rencana Kerja</t>
  </si>
  <si>
    <t xml:space="preserve">    -     Pencetakan</t>
  </si>
  <si>
    <t xml:space="preserve">    -     Perlengkapan Penyusunan Bahan Kebijakan dan Rencana Teknis Kegiatan</t>
  </si>
  <si>
    <t xml:space="preserve">    -     Rekon Data/Penyusunan Bahan/Perencanaan Teknis/Konsultasi</t>
  </si>
  <si>
    <t xml:space="preserve">     524119</t>
  </si>
  <si>
    <t>Belanja Perjalanan Dinas Paket Meeting Luar Kota</t>
  </si>
  <si>
    <t xml:space="preserve">    -     Fullboard Meeting Eselon 1  [1 ORANG x 1 MALAM]</t>
  </si>
  <si>
    <t>OP</t>
  </si>
  <si>
    <t xml:space="preserve">    -     Fulloard Meeting  Eselon II  [1 ORANG x 2 MALAM]</t>
  </si>
  <si>
    <t xml:space="preserve">    -     Fulloard Meeting  [80 ORANG x 2 MALAM]</t>
  </si>
  <si>
    <t xml:space="preserve">    -     uang harian fullboard meeting  [2 ORG x 3 HARI]</t>
  </si>
  <si>
    <t>OH</t>
  </si>
  <si>
    <t xml:space="preserve">    -     uang harian fullboard meeting  [80 ORG x 3 HARI]</t>
  </si>
  <si>
    <t xml:space="preserve">    -     Perjalanan Peserta dan Panitian Rapat Kerja Teknis Pendidikan</t>
  </si>
  <si>
    <t>Sinkronisasi Kegiatan Pendidikan KP</t>
  </si>
  <si>
    <t xml:space="preserve">    -     Sinkronisasi Pendidikan KP</t>
  </si>
  <si>
    <t xml:space="preserve">    -     Perjalanan Koordinasi  dengan Instansi Terkait</t>
  </si>
  <si>
    <t>Rapat Kerja Teknis Pendidikan KP</t>
  </si>
  <si>
    <t xml:space="preserve">    -     Perlengkapan Rapat Kerja Teknis Pendidikan KP</t>
  </si>
  <si>
    <t xml:space="preserve">    -     Rapat Kerja Teknis</t>
  </si>
  <si>
    <t xml:space="preserve">    -     Persiapan  dan Koordinasi Rapat Kerja Teknis Pendidikan</t>
  </si>
  <si>
    <t xml:space="preserve">    -     Fullboard Meeting Eselon 1  [1 ORANG x 2 MALAM]</t>
  </si>
  <si>
    <t xml:space="preserve">    -     Fulloard Meeting  Eselon II  [1 ORANG x 3 MALAM]</t>
  </si>
  <si>
    <t xml:space="preserve">    -     Fulloard Meeting  [90 ORANG x 3 MALAM]</t>
  </si>
  <si>
    <t xml:space="preserve">    -     uang harian fullboard meeting  [2 ORG x 4 HARI]</t>
  </si>
  <si>
    <t xml:space="preserve">    -     uang harian fullboard meeting  [90 ORG x 4 HARI]</t>
  </si>
  <si>
    <t xml:space="preserve">   052</t>
  </si>
  <si>
    <t>Pelaksanaan pemantauan dan evaluasi</t>
  </si>
  <si>
    <t>Penilaian Kinerja Pendidikan KP</t>
  </si>
  <si>
    <t>EKS</t>
  </si>
  <si>
    <t xml:space="preserve">    -     Penilaian Kinerja Pendidikan KP</t>
  </si>
  <si>
    <t>Data dan Informasi Pendidikan KP</t>
  </si>
  <si>
    <t xml:space="preserve">    -     Data dan Informasi Pendidikan KP</t>
  </si>
  <si>
    <t>Penyusunan Laporan Kinerja (LKj) Pusat Pendidikan KP</t>
  </si>
  <si>
    <t>Monitoring dan Evaluasi Kegiatan Teknis Pendidikan KP</t>
  </si>
  <si>
    <t xml:space="preserve">    -     Monev Kegiatan Teknis Pendidikan KP</t>
  </si>
  <si>
    <t>Pengelolaan keuangan dan perbendaharaan</t>
  </si>
  <si>
    <t>Sistem Akuntansi Keuangan Berbasis Akrual</t>
  </si>
  <si>
    <t xml:space="preserve">    -     Pencetakan Laporan</t>
  </si>
  <si>
    <t xml:space="preserve">    -     Perjalanan Identifikasi dan Koordinasi</t>
  </si>
  <si>
    <t xml:space="preserve">    -     Perjalanan Koordinasi ke KPPN, Eselon I dan Instansi Terkait</t>
  </si>
  <si>
    <t>Penyusunan Program dan Anggaran Lingkup Pusdik KP</t>
  </si>
  <si>
    <t xml:space="preserve">    -     Perjalanan Penyusunan Program dan Anggaran Lingkup Pusdik KP</t>
  </si>
  <si>
    <t xml:space="preserve">    -     Perjalanan Koordinasi ke Eselon I dan Instansi Terkait</t>
  </si>
  <si>
    <t>Penyusunan POK Lingkup Satker Pusdik KP</t>
  </si>
  <si>
    <t xml:space="preserve">    -     Penyusunan POK Pusdik KP dan Pengendalian Anggaran</t>
  </si>
  <si>
    <t xml:space="preserve">    -     Perjalanan Koordinasi  Eselon I dan Instansi Terkait</t>
  </si>
  <si>
    <t>Evaluasi Kinerja Keuangan dan Pengendalian Anggaran Lingkup Pusdik KP</t>
  </si>
  <si>
    <t xml:space="preserve">    -     Penyusunan Manajemen Resiko Satker Pusdik KP`</t>
  </si>
  <si>
    <t xml:space="preserve">    -     Perjalanan Koordinasi Eselon I dan Instansi Terkait</t>
  </si>
  <si>
    <t>Validasi Data Gaji dan Tunjangan</t>
  </si>
  <si>
    <t xml:space="preserve">    -     Perjalanan Validasi data Gaji dan Tunjangan</t>
  </si>
  <si>
    <t>Verifikasi dan Validasi Pertanggung Jawaban Kegiatan Lingkup Pusdik</t>
  </si>
  <si>
    <t xml:space="preserve">    -     Perjalanan Penyelenggaraan Verifikasi</t>
  </si>
  <si>
    <t xml:space="preserve">   054</t>
  </si>
  <si>
    <t>Pengelolaan kepegawaian</t>
  </si>
  <si>
    <t>Pengelolaan SDM Aparatur</t>
  </si>
  <si>
    <t xml:space="preserve">    -     Konsumsi/bahan Makan</t>
  </si>
  <si>
    <t xml:space="preserve">    -     Perjalanan dinas Pengelolaan SDM Aparatur</t>
  </si>
  <si>
    <t xml:space="preserve">    -     Perjalanan koordinasi</t>
  </si>
  <si>
    <t xml:space="preserve">   055</t>
  </si>
  <si>
    <t>Pelayanan umum, Pelayanan rumah tangga dan perlengkapan</t>
  </si>
  <si>
    <t>Implementasi Sistem Informasi dan Manajemen Akuntansi BMN</t>
  </si>
  <si>
    <t xml:space="preserve">    -     Perjalanan Pra Rekonsiliasi dan Rekonsiliasi LK</t>
  </si>
  <si>
    <t xml:space="preserve">    -     Penyelenggaraan PSP - BMN</t>
  </si>
  <si>
    <t xml:space="preserve">    -     Pemutakhiran Aset / BMN antar Satpen</t>
  </si>
  <si>
    <t xml:space="preserve">    -     Penyelenggaraan BMN (Identifikasi dan Koordinasi)</t>
  </si>
  <si>
    <t xml:space="preserve">    -     Perjalanan Koordinasi ke KPKNL dan Identifikasi BMN</t>
  </si>
  <si>
    <t>Pengelolaan Kearsipan Pusat Pendidikan KP</t>
  </si>
  <si>
    <t xml:space="preserve">    -     Pengelolaan Ruang Arsip</t>
  </si>
  <si>
    <t>BULAN</t>
  </si>
  <si>
    <t xml:space="preserve">     522141</t>
  </si>
  <si>
    <t>Belanja Sewa</t>
  </si>
  <si>
    <t xml:space="preserve">    -     Sewa Kendaraan (Mobil) (1 unit x 3 hari)</t>
  </si>
  <si>
    <t>UH</t>
  </si>
  <si>
    <t xml:space="preserve">    -     Perjalanan Sinkronisasi Penatausahaan</t>
  </si>
  <si>
    <t xml:space="preserve">    -     Perjalanan Koordinasi</t>
  </si>
  <si>
    <t>Pembinaan dan Koordinasi Pimpinan</t>
  </si>
  <si>
    <t xml:space="preserve">    -     Perjalanan Pembinaan</t>
  </si>
  <si>
    <t xml:space="preserve">    -     Perjalanan Koordinasi dan Sinkronisasi</t>
  </si>
  <si>
    <t xml:space="preserve">    -     Perjalanan Pendampingan</t>
  </si>
  <si>
    <t>Penyusunan Bahan Tindak Lanjut dan Pemutakhiran Data Pusdik KP</t>
  </si>
  <si>
    <t xml:space="preserve">    -     Perjalanan Sinkronisasi Data Tindak Lanjut</t>
  </si>
  <si>
    <t xml:space="preserve">    -     Perjalanan Identifikasi dan Koordinasi di Satpen</t>
  </si>
  <si>
    <t>Pengelolaan Tata Naskah Dinas dan Persuratan Pusdik KP</t>
  </si>
  <si>
    <t xml:space="preserve">    -     Perjalanan Sinkronisasi Dan Penyusunan TND</t>
  </si>
  <si>
    <t xml:space="preserve">    -     Perjalanan  Koordinasi Persuratan</t>
  </si>
  <si>
    <t xml:space="preserve">    -     Perjalanan  Sinkronisasi Tata Naskah</t>
  </si>
  <si>
    <t>Pengelolaan Kegiatan Diploma I</t>
  </si>
  <si>
    <t xml:space="preserve">    -     Perjalanan Pengelolaan Kegiatan Diploma I Jarak Jauh</t>
  </si>
  <si>
    <t>Implementasi STCWF</t>
  </si>
  <si>
    <t xml:space="preserve">    -     Perjalanan Implementasi STCWF</t>
  </si>
  <si>
    <t>Penyusunan Modul Diploma I Jarak Jauh</t>
  </si>
  <si>
    <t xml:space="preserve">    -     Rapat pembahasan Modul Diploma I Jarak Jauh</t>
  </si>
  <si>
    <t xml:space="preserve">    -     Penyusunan Modul Prodi Penangkapan Ikan  [14 SATPE x 18 MK x 35 ORANG]</t>
  </si>
  <si>
    <t xml:space="preserve">    -     Koordinasi Penyusunan Modul Diploma I Jarak Jauh</t>
  </si>
  <si>
    <t>2376.994</t>
  </si>
  <si>
    <t>Layanan Perkantoran_x000D_[Base Line]</t>
  </si>
  <si>
    <t>2376.994.001</t>
  </si>
  <si>
    <t>Layanan Perkantoran</t>
  </si>
  <si>
    <t xml:space="preserve">   001</t>
  </si>
  <si>
    <t>Gaji dan Tunjangan</t>
  </si>
  <si>
    <t>Pembayaran Gaji dan Tunjangan</t>
  </si>
  <si>
    <t xml:space="preserve">     511111</t>
  </si>
  <si>
    <t>Belanja Gaji Pokok PNS</t>
  </si>
  <si>
    <t xml:space="preserve">    -     Belanja Gaji Pokok PNS</t>
  </si>
  <si>
    <t xml:space="preserve">    -     Belanja Gaji Pokok PNS (Gaji ke 13)</t>
  </si>
  <si>
    <t xml:space="preserve">    -     Belanja Gaji Pokok PNS (Gaji ke 14)</t>
  </si>
  <si>
    <t xml:space="preserve">     511119</t>
  </si>
  <si>
    <t>Belanja Pembulatan Gaji PNS</t>
  </si>
  <si>
    <t xml:space="preserve">    -     Belanja Pembulatan Gaji PNS</t>
  </si>
  <si>
    <t xml:space="preserve">    -     Belanja Tunj. Suami/Istri PNS (gaji ke 13)</t>
  </si>
  <si>
    <t xml:space="preserve">    -     Belanja Tunj. Suami/Istri PNS (gaji ke 14)</t>
  </si>
  <si>
    <t xml:space="preserve">     511121</t>
  </si>
  <si>
    <t>Belanja Tunj. Suami/Istri PNS</t>
  </si>
  <si>
    <t xml:space="preserve">    -     Belanja Tunj. Suami/Istri PNS</t>
  </si>
  <si>
    <t xml:space="preserve">     511122</t>
  </si>
  <si>
    <t>Belanja Tunj. Anak PNS</t>
  </si>
  <si>
    <t xml:space="preserve">    -     Belanja Tunjangan Anak</t>
  </si>
  <si>
    <t xml:space="preserve">    -     Belanja Tunjangan Anak  (gaji ke 13)</t>
  </si>
  <si>
    <t xml:space="preserve">    -     Belanja Tunjangan Anak  (gaji ke 14)</t>
  </si>
  <si>
    <t xml:space="preserve">     511123</t>
  </si>
  <si>
    <t>Belanja Tunj. Struktural PNS</t>
  </si>
  <si>
    <t xml:space="preserve">    -     Belanja Tunj. Struktural PNS</t>
  </si>
  <si>
    <t xml:space="preserve">    -     Belanja Tunj. Struktural PNS (Gaji Ke 13)</t>
  </si>
  <si>
    <t xml:space="preserve">    -     Belanja Tunj. Struktural PNS (Gaji Ke 14)</t>
  </si>
  <si>
    <t xml:space="preserve">     511124</t>
  </si>
  <si>
    <t>Belanja Tunj. Fungsional PNS</t>
  </si>
  <si>
    <t xml:space="preserve">    -     Belanja Tunjangan Fungsional PNS</t>
  </si>
  <si>
    <t xml:space="preserve">    -     Belanja Tunjangan Fungsional PNS (gaji ke 13)</t>
  </si>
  <si>
    <t xml:space="preserve">    -     Belanja Tunjangan Fungsional PNS (gaji ke 14)</t>
  </si>
  <si>
    <t xml:space="preserve">     511125</t>
  </si>
  <si>
    <t>Belanja Tunj. PPh PNS</t>
  </si>
  <si>
    <t xml:space="preserve">    -     Belanja Tunjangan Umum PNS</t>
  </si>
  <si>
    <t xml:space="preserve">    -     Belanja Tunjangan Umum PNS (gaji ke 13)</t>
  </si>
  <si>
    <t xml:space="preserve">    -     Belanja Tunj. PPh PNS (Gaji ke-14)</t>
  </si>
  <si>
    <t xml:space="preserve">     511126</t>
  </si>
  <si>
    <t>Belanja Tunj. Beras PNS</t>
  </si>
  <si>
    <t xml:space="preserve">    -     Belanja Tunj. Beras PNS</t>
  </si>
  <si>
    <t xml:space="preserve">     511129</t>
  </si>
  <si>
    <t>Belanja Uang Makan PNS</t>
  </si>
  <si>
    <t xml:space="preserve">    -     Belanja Uang Makan PNS</t>
  </si>
  <si>
    <t xml:space="preserve">     511151</t>
  </si>
  <si>
    <t>Belanja Tunjangan Umum PNS</t>
  </si>
  <si>
    <t xml:space="preserve">    -     Belanja Tunjangan Umum PNS (Gaji ke-14)</t>
  </si>
  <si>
    <t>Tunjangan Kinerja</t>
  </si>
  <si>
    <t xml:space="preserve">     512411</t>
  </si>
  <si>
    <t>Belanja Pegawai (Tunjangan Khusus/Kegiatan/Kinerja)</t>
  </si>
  <si>
    <t xml:space="preserve">    -     Belanja Tunjangan Kinerja</t>
  </si>
  <si>
    <t xml:space="preserve">    -     Belanja Tunjangan Kinerja ke 13</t>
  </si>
  <si>
    <t xml:space="preserve">    -     Belanja Tunjangan Kinerja ke 14</t>
  </si>
  <si>
    <t xml:space="preserve">   002</t>
  </si>
  <si>
    <t>Operasional dan Pemeliharaan Kantor</t>
  </si>
  <si>
    <t>Kebutuhan Sehari-hari Perkantoran</t>
  </si>
  <si>
    <t xml:space="preserve">     521111</t>
  </si>
  <si>
    <t>Belanja Keperluan Perkantoran</t>
  </si>
  <si>
    <t xml:space="preserve">    -     Jamuan</t>
  </si>
  <si>
    <t xml:space="preserve">    -     Keperluan sehari-hari</t>
  </si>
  <si>
    <t>OT</t>
  </si>
  <si>
    <t xml:space="preserve">    -     Langganan Majalah dan Surat Kabar</t>
  </si>
  <si>
    <t>&gt;     Honorarium Pramubakti</t>
  </si>
  <si>
    <t xml:space="preserve">    -     Pramubakti Non PNS  [12 ORG x 13 BLN]</t>
  </si>
  <si>
    <t>OB</t>
  </si>
  <si>
    <t>&gt; Honorarium Pengemudi</t>
  </si>
  <si>
    <t xml:space="preserve">    -     Pengemudi Non PNS</t>
  </si>
  <si>
    <t xml:space="preserve">    -     ATK  [8 SUBID x 12 BLN]</t>
  </si>
  <si>
    <t xml:space="preserve">    -     Bahan Komputer  [8 SUBID x 12 BLN]</t>
  </si>
  <si>
    <t xml:space="preserve">    -     Kertas Fotocopy A4  [4 BID x 3 RIM x 12 BLN]</t>
  </si>
  <si>
    <t xml:space="preserve">    -     Kertas Fotocopy F4  [4 BID x 3 RIM x 12 BLN]</t>
  </si>
  <si>
    <t xml:space="preserve">    -     Kertas Kop A4 (4 warna)</t>
  </si>
  <si>
    <t>RIM</t>
  </si>
  <si>
    <t xml:space="preserve">    -     Kertas Kop F4 (4 warna)</t>
  </si>
  <si>
    <t xml:space="preserve">    -     Amplop Kop Besar</t>
  </si>
  <si>
    <t>BOX</t>
  </si>
  <si>
    <t xml:space="preserve">    -     Amplop Kop Kecil (4 warna)</t>
  </si>
  <si>
    <t xml:space="preserve">    -     Map Pusdik KP</t>
  </si>
  <si>
    <t>LBR</t>
  </si>
  <si>
    <t xml:space="preserve">    -     Blanko Disposisi</t>
  </si>
  <si>
    <t>BUKU</t>
  </si>
  <si>
    <t>Langganan Daya dan Jasa</t>
  </si>
  <si>
    <t xml:space="preserve">     521114</t>
  </si>
  <si>
    <t>Belanja Pengiriman Surat Dinas Pos Pusat</t>
  </si>
  <si>
    <t xml:space="preserve">    -     Pengiriman surat dan dokumen/barang lainnya</t>
  </si>
  <si>
    <t xml:space="preserve">    -     Sewa Mesin Photocopy</t>
  </si>
  <si>
    <t xml:space="preserve">    -     Sewa Ruang Arsip dan Penyimpanan BMN</t>
  </si>
  <si>
    <t>Pemeliharaan Kantor</t>
  </si>
  <si>
    <t xml:space="preserve">     523121</t>
  </si>
  <si>
    <t>Belanja Pemeliharaan Peralatan dan Mesin</t>
  </si>
  <si>
    <t xml:space="preserve">    -     Pemeliharaan dan Operasional Kendaraan Pejabat Eselon II</t>
  </si>
  <si>
    <t>UNIT</t>
  </si>
  <si>
    <t xml:space="preserve">    -     Pemeliharaan dan Operasional Kendaraan Roda 4</t>
  </si>
  <si>
    <t xml:space="preserve">    -     Pemeliharaan dan Operasional Kendaraan Roda Dua</t>
  </si>
  <si>
    <t xml:space="preserve">    -     Laptop/Notebook</t>
  </si>
  <si>
    <t xml:space="preserve">    -     Komputer PC</t>
  </si>
  <si>
    <t xml:space="preserve">    -     Printer</t>
  </si>
  <si>
    <t xml:space="preserve">    -     LCD</t>
  </si>
  <si>
    <t xml:space="preserve">    -     CCTV</t>
  </si>
  <si>
    <t xml:space="preserve">    -     Kamera</t>
  </si>
  <si>
    <t xml:space="preserve">    -     Perawatan Barang Inventaris Kantor</t>
  </si>
  <si>
    <t>PEG</t>
  </si>
  <si>
    <t xml:space="preserve">     523199</t>
  </si>
  <si>
    <t>Belanja Pemeliharaan Lainnya</t>
  </si>
  <si>
    <t xml:space="preserve">    -     Pemeliharaan Aquarium</t>
  </si>
  <si>
    <t>Pembayaran Pelaksanaan Operasional Kantor</t>
  </si>
  <si>
    <t>&gt; PENGADAAN PAKAIAN DINAS</t>
  </si>
  <si>
    <t xml:space="preserve">    -     Pakaian Dinas Pegawai</t>
  </si>
  <si>
    <t>STEL</t>
  </si>
  <si>
    <t xml:space="preserve">    -     Pakaian Kerja Pramubakti</t>
  </si>
  <si>
    <t xml:space="preserve">     521115</t>
  </si>
  <si>
    <t>Belanja Honor Operasional Satuan Kerja</t>
  </si>
  <si>
    <t xml:space="preserve">    -     KPA Pusat Pendidikan KP</t>
  </si>
  <si>
    <t xml:space="preserve">    -     PPK Pusat Pendiidikan</t>
  </si>
  <si>
    <t xml:space="preserve">    -     Pejabat Pendatangan SPM</t>
  </si>
  <si>
    <t xml:space="preserve">    -     Bendahara Pengeluaran Pusat Pendidikan KP</t>
  </si>
  <si>
    <t xml:space="preserve">    -     Bendahara Pengeluaran  Pembantu  [4 ORG x 12 BLN]</t>
  </si>
  <si>
    <t xml:space="preserve">    -     Staf Pengelola Keuangan KPA  [2 ORG x 12 BLN]</t>
  </si>
  <si>
    <t xml:space="preserve">    -     Pejabat Pengadaan Barang dan Jasa  [3 ORG x 12 BLN]</t>
  </si>
  <si>
    <t xml:space="preserve">    -     Pengurus/Penyimpan BMN tingkat KPA  [2 ORG x 12 BLN]</t>
  </si>
  <si>
    <t xml:space="preserve">    -     Penanggungjawab Pengelola SAK/BMN  [1 ORG x 2 KEG x 12 BLN]</t>
  </si>
  <si>
    <t xml:space="preserve">    -     Koordinator Pengelola SAK/BMN  [1 ORG x 12 BLN x 2 KEG]</t>
  </si>
  <si>
    <t xml:space="preserve">    -     Anggota Pengelola SAK/BMN  [3 ORG x 12 BLN x 2 KEG]</t>
  </si>
  <si>
    <t xml:space="preserve">    -     Petugas Pengelola Administrasi Belanja Pegawai</t>
  </si>
  <si>
    <t xml:space="preserve">    -     Ketua Tim Penghapusan BMN</t>
  </si>
  <si>
    <t xml:space="preserve">    -     Sekretaris Tim Penghapusan BMN</t>
  </si>
  <si>
    <t xml:space="preserve">    -     Anggota Tim Penghapusan BMN  [3 ORANG x 1 KEG]</t>
  </si>
  <si>
    <t>Kode</t>
  </si>
  <si>
    <t>Uraian</t>
  </si>
  <si>
    <t>Vol</t>
  </si>
  <si>
    <t>Sat</t>
  </si>
  <si>
    <t>H. Satuan</t>
  </si>
  <si>
    <t>Jumlah</t>
  </si>
  <si>
    <t>2376.003.001.051</t>
  </si>
  <si>
    <t>2376.004.001.051</t>
  </si>
  <si>
    <t>2376.966.001.051</t>
  </si>
  <si>
    <t>2376.966.001.053</t>
  </si>
  <si>
    <t>2376.970.001.051</t>
  </si>
  <si>
    <t>2376.970.001.052</t>
  </si>
  <si>
    <t>2376.970.001.053</t>
  </si>
  <si>
    <t>2376.970.001.054</t>
  </si>
  <si>
    <t>2376.970.001.055</t>
  </si>
  <si>
    <t>2376.994.001.001</t>
  </si>
  <si>
    <t>2376.994.001.002</t>
  </si>
  <si>
    <t>2376.003.001.051.A</t>
  </si>
  <si>
    <t>2376.003.001.051.B</t>
  </si>
  <si>
    <t>2376.004.001.051.A</t>
  </si>
  <si>
    <t>2376.004.001.051.B</t>
  </si>
  <si>
    <t>2376.004.001.051.C</t>
  </si>
  <si>
    <t>2376.004.001.051.D</t>
  </si>
  <si>
    <t>2376.966.001.051.A</t>
  </si>
  <si>
    <t>2376.966.001.051.B</t>
  </si>
  <si>
    <t>2376.966.001.051.C</t>
  </si>
  <si>
    <t>2376.966.001.051.D</t>
  </si>
  <si>
    <t>2376.966.001.051.E</t>
  </si>
  <si>
    <t>2376.966.001.051.F</t>
  </si>
  <si>
    <t>2376.966.001.051.G</t>
  </si>
  <si>
    <t>2376.966.001.051.H</t>
  </si>
  <si>
    <t>2376.966.001.051.I</t>
  </si>
  <si>
    <t>2376.966.001.053.A</t>
  </si>
  <si>
    <t>2376.966.001.053.B</t>
  </si>
  <si>
    <t>2376.966.001.053.C</t>
  </si>
  <si>
    <t>2376.966.001.053.D</t>
  </si>
  <si>
    <t>2376.966.001.053.E</t>
  </si>
  <si>
    <t>2376.966.001.053.F</t>
  </si>
  <si>
    <t>2376.966.001.053.G</t>
  </si>
  <si>
    <t>2376.966.001.053.H</t>
  </si>
  <si>
    <t>2376.970.001.051.A</t>
  </si>
  <si>
    <t>2376.970.001.051.B</t>
  </si>
  <si>
    <t>2376.970.001.051.E</t>
  </si>
  <si>
    <t>2376.970.001.052.A</t>
  </si>
  <si>
    <t>2376.970.001.052.B</t>
  </si>
  <si>
    <t>2376.970.001.052.C</t>
  </si>
  <si>
    <t>2376.970.001.052.D</t>
  </si>
  <si>
    <t>2376.970.001.053.A</t>
  </si>
  <si>
    <t>2376.970.001.053.B</t>
  </si>
  <si>
    <t>2376.970.001.053.C</t>
  </si>
  <si>
    <t>2376.970.001.053.D</t>
  </si>
  <si>
    <t>2376.970.001.053.E</t>
  </si>
  <si>
    <t>2376.970.001.053.F</t>
  </si>
  <si>
    <t>2376.970.001.054.A</t>
  </si>
  <si>
    <t>2376.970.001.055.A</t>
  </si>
  <si>
    <t>2376.970.001.055.B</t>
  </si>
  <si>
    <t>2376.970.001.055.C</t>
  </si>
  <si>
    <t>2376.970.001.055.D</t>
  </si>
  <si>
    <t>2376.970.001.055.E</t>
  </si>
  <si>
    <t>2376.970.001.055.F</t>
  </si>
  <si>
    <t>2376.970.001.055.G</t>
  </si>
  <si>
    <t>2376.970.001.055.H</t>
  </si>
  <si>
    <t>2376.994.001.001.A</t>
  </si>
  <si>
    <t>2376.994.001.001.B</t>
  </si>
  <si>
    <t>2376.994.001.002.A</t>
  </si>
  <si>
    <t>2376.994.001.002.B</t>
  </si>
  <si>
    <t>2376.994.001.002.C</t>
  </si>
  <si>
    <t>2376.994.001.002.D</t>
  </si>
  <si>
    <t>2376.003.001.051.A.532111</t>
  </si>
  <si>
    <t>2376.003.001.051.B.533111</t>
  </si>
  <si>
    <t>2376.004.001.051.A.521211</t>
  </si>
  <si>
    <t>2376.004.001.051.A.521219</t>
  </si>
  <si>
    <t>2376.004.001.051.A.521811</t>
  </si>
  <si>
    <t>2376.004.001.051.A.522151</t>
  </si>
  <si>
    <t>2376.004.001.051.A.524111</t>
  </si>
  <si>
    <t>2376.004.001.051.A.524114</t>
  </si>
  <si>
    <t>2376.004.001.051.B.521211</t>
  </si>
  <si>
    <t>2376.004.001.051.B.521219</t>
  </si>
  <si>
    <t>2376.004.001.051.B.521811</t>
  </si>
  <si>
    <t>2376.004.001.051.B.522151</t>
  </si>
  <si>
    <t>2376.004.001.051.B.524219</t>
  </si>
  <si>
    <t>2376.004.001.051.C.521211</t>
  </si>
  <si>
    <t>2376.004.001.051.C.521219</t>
  </si>
  <si>
    <t>2376.004.001.051.C.521811</t>
  </si>
  <si>
    <t>2376.004.001.051.C.522151</t>
  </si>
  <si>
    <t>2376.004.001.051.C.524111</t>
  </si>
  <si>
    <t>2376.004.001.051.C.524114</t>
  </si>
  <si>
    <t>2376.004.001.051.D.521211</t>
  </si>
  <si>
    <t>2376.004.001.051.D.521811</t>
  </si>
  <si>
    <t>2376.004.001.051.D.522151</t>
  </si>
  <si>
    <t>2376.004.001.051.D.524111</t>
  </si>
  <si>
    <t>2376.004.001.051.D.524114</t>
  </si>
  <si>
    <t>2376.966.001.051.A.521211</t>
  </si>
  <si>
    <t>2376.966.001.051.A.522151</t>
  </si>
  <si>
    <t>2376.966.001.051.A.524111</t>
  </si>
  <si>
    <t>2376.966.001.051.A.524114</t>
  </si>
  <si>
    <t>2376.966.001.051.B.521211</t>
  </si>
  <si>
    <t>2376.966.001.051.B.522151</t>
  </si>
  <si>
    <t>2376.966.001.051.B.524111</t>
  </si>
  <si>
    <t>2376.966.001.051.B.524114</t>
  </si>
  <si>
    <t>2376.966.001.051.C.521211</t>
  </si>
  <si>
    <t>2376.966.001.051.C.521219</t>
  </si>
  <si>
    <t>2376.966.001.051.C.522151</t>
  </si>
  <si>
    <t>2376.966.001.051.C.524111</t>
  </si>
  <si>
    <t>2376.966.001.051.C.524114</t>
  </si>
  <si>
    <t>2376.966.001.051.D.521211</t>
  </si>
  <si>
    <t>2376.966.001.051.D.522151</t>
  </si>
  <si>
    <t>2376.966.001.051.D.524111</t>
  </si>
  <si>
    <t>2376.966.001.051.D.524114</t>
  </si>
  <si>
    <t>2376.966.001.051.E.521211</t>
  </si>
  <si>
    <t>2376.966.001.051.E.521219</t>
  </si>
  <si>
    <t>2376.966.001.051.E.521811</t>
  </si>
  <si>
    <t>2376.966.001.051.E.522151</t>
  </si>
  <si>
    <t>2376.966.001.051.E.524111</t>
  </si>
  <si>
    <t>2376.966.001.051.E.524113</t>
  </si>
  <si>
    <t>2376.966.001.051.E.524114</t>
  </si>
  <si>
    <t>2376.966.001.051.F.521211</t>
  </si>
  <si>
    <t>2376.966.001.051.F.521811</t>
  </si>
  <si>
    <t>2376.966.001.051.F.522151</t>
  </si>
  <si>
    <t>2376.966.001.051.F.524111</t>
  </si>
  <si>
    <t>2376.966.001.051.F.524113</t>
  </si>
  <si>
    <t>2376.966.001.051.F.524114</t>
  </si>
  <si>
    <t>2376.966.001.051.G.521211</t>
  </si>
  <si>
    <t>2376.966.001.051.G.521811</t>
  </si>
  <si>
    <t>2376.966.001.051.G.522151</t>
  </si>
  <si>
    <t>2376.966.001.051.G.524111</t>
  </si>
  <si>
    <t>2376.966.001.051.G.524113</t>
  </si>
  <si>
    <t>2376.966.001.051.G.524114</t>
  </si>
  <si>
    <t>2376.966.001.051.H.521211</t>
  </si>
  <si>
    <t>2376.966.001.051.H.522151</t>
  </si>
  <si>
    <t>2376.966.001.051.H.524111</t>
  </si>
  <si>
    <t>2376.966.001.051.H.524113</t>
  </si>
  <si>
    <t>2376.966.001.051.H.524114</t>
  </si>
  <si>
    <t>2376.966.001.051.I.521211</t>
  </si>
  <si>
    <t>2376.966.001.051.I.522151</t>
  </si>
  <si>
    <t>2376.966.001.051.I.524111</t>
  </si>
  <si>
    <t>2376.966.001.051.I.524113</t>
  </si>
  <si>
    <t>2376.966.001.051.I.524114</t>
  </si>
  <si>
    <t>2376.966.001.053.A.521211</t>
  </si>
  <si>
    <t>2376.966.001.053.A.521219</t>
  </si>
  <si>
    <t>2376.966.001.053.A.522151</t>
  </si>
  <si>
    <t>2376.966.001.053.A.524111</t>
  </si>
  <si>
    <t>2376.966.001.053.A.524114</t>
  </si>
  <si>
    <t>2376.966.001.053.B.521211</t>
  </si>
  <si>
    <t>2376.966.001.053.B.524114</t>
  </si>
  <si>
    <t>2376.966.001.053.C.521211</t>
  </si>
  <si>
    <t>2376.966.001.053.C.524111</t>
  </si>
  <si>
    <t>2376.966.001.053.C.524114</t>
  </si>
  <si>
    <t>2376.966.001.053.D.521211</t>
  </si>
  <si>
    <t>2376.966.001.053.D.524111</t>
  </si>
  <si>
    <t>2376.966.001.053.D.524114</t>
  </si>
  <si>
    <t>2376.966.001.053.E.521211</t>
  </si>
  <si>
    <t>2376.966.001.053.E.524114</t>
  </si>
  <si>
    <t>2376.966.001.053.F.521211</t>
  </si>
  <si>
    <t>2376.966.001.053.F.521219</t>
  </si>
  <si>
    <t>2376.966.001.053.F.522151</t>
  </si>
  <si>
    <t>2376.966.001.053.F.524113</t>
  </si>
  <si>
    <t>2376.966.001.053.F.524114</t>
  </si>
  <si>
    <t>2376.966.001.053.G.521211</t>
  </si>
  <si>
    <t>2376.966.001.053.G.521219</t>
  </si>
  <si>
    <t>2376.966.001.053.G.522151</t>
  </si>
  <si>
    <t>2376.966.001.053.G.524111</t>
  </si>
  <si>
    <t>2376.966.001.053.G.524113</t>
  </si>
  <si>
    <t>2376.966.001.053.G.524114</t>
  </si>
  <si>
    <t>2376.966.001.053.H.521211</t>
  </si>
  <si>
    <t>2376.966.001.053.H.521219</t>
  </si>
  <si>
    <t>2376.966.001.053.H.522151</t>
  </si>
  <si>
    <t>2376.966.001.053.H.524111</t>
  </si>
  <si>
    <t>2376.966.001.053.H.524113</t>
  </si>
  <si>
    <t>2376.966.001.053.H.524114</t>
  </si>
  <si>
    <t>2376.970.001.051.A.521211</t>
  </si>
  <si>
    <t>2376.970.001.051.A.521811</t>
  </si>
  <si>
    <t>2376.970.001.051.A.522151</t>
  </si>
  <si>
    <t>2376.970.001.051.A.524111</t>
  </si>
  <si>
    <t>2376.970.001.051.A.524114</t>
  </si>
  <si>
    <t>2376.970.001.051.A.524119</t>
  </si>
  <si>
    <t>2376.970.001.051.B.521211</t>
  </si>
  <si>
    <t>2376.970.001.051.B.521811</t>
  </si>
  <si>
    <t>2376.970.001.051.B.522151</t>
  </si>
  <si>
    <t>2376.970.001.051.B.524111</t>
  </si>
  <si>
    <t>2376.970.001.051.B.524113</t>
  </si>
  <si>
    <t>2376.970.001.051.B.524114</t>
  </si>
  <si>
    <t>2376.970.001.051.E.521211</t>
  </si>
  <si>
    <t>2376.970.001.051.E.521219</t>
  </si>
  <si>
    <t>2376.970.001.051.E.522151</t>
  </si>
  <si>
    <t>2376.970.001.051.E.524111</t>
  </si>
  <si>
    <t>2376.970.001.051.E.524114</t>
  </si>
  <si>
    <t>2376.970.001.051.E.524119</t>
  </si>
  <si>
    <t>2376.970.001.052.A.521211</t>
  </si>
  <si>
    <t>2376.970.001.052.A.522151</t>
  </si>
  <si>
    <t>2376.970.001.052.A.524111</t>
  </si>
  <si>
    <t>2376.970.001.052.A.524113</t>
  </si>
  <si>
    <t>2376.970.001.052.A.524114</t>
  </si>
  <si>
    <t>2376.970.001.052.B.521211</t>
  </si>
  <si>
    <t>2376.970.001.052.B.521219</t>
  </si>
  <si>
    <t>2376.970.001.052.B.522151</t>
  </si>
  <si>
    <t>2376.970.001.052.B.524111</t>
  </si>
  <si>
    <t>2376.970.001.052.B.524113</t>
  </si>
  <si>
    <t>2376.970.001.052.B.524114</t>
  </si>
  <si>
    <t>2376.970.001.052.C.521211</t>
  </si>
  <si>
    <t>2376.970.001.052.C.524113</t>
  </si>
  <si>
    <t>2376.970.001.052.C.524114</t>
  </si>
  <si>
    <t>2376.970.001.052.D.521211</t>
  </si>
  <si>
    <t>2376.970.001.052.D.522151</t>
  </si>
  <si>
    <t>2376.970.001.052.D.524111</t>
  </si>
  <si>
    <t>2376.970.001.052.D.524114</t>
  </si>
  <si>
    <t>2376.970.001.053.A.521211</t>
  </si>
  <si>
    <t>2376.970.001.053.A.521811</t>
  </si>
  <si>
    <t>2376.970.001.053.A.522151</t>
  </si>
  <si>
    <t>2376.970.001.053.A.524111</t>
  </si>
  <si>
    <t>2376.970.001.053.A.524113</t>
  </si>
  <si>
    <t>2376.970.001.053.A.524114</t>
  </si>
  <si>
    <t>2376.970.001.053.B.521211</t>
  </si>
  <si>
    <t>2376.970.001.053.B.524111</t>
  </si>
  <si>
    <t>2376.970.001.053.B.524113</t>
  </si>
  <si>
    <t>2376.970.001.053.B.524114</t>
  </si>
  <si>
    <t>2376.970.001.053.C.521211</t>
  </si>
  <si>
    <t>2376.970.001.053.C.521811</t>
  </si>
  <si>
    <t>2376.970.001.053.C.524111</t>
  </si>
  <si>
    <t>2376.970.001.053.C.524113</t>
  </si>
  <si>
    <t>2376.970.001.053.C.524114</t>
  </si>
  <si>
    <t>2376.970.001.053.D.521211</t>
  </si>
  <si>
    <t>2376.970.001.053.D.521811</t>
  </si>
  <si>
    <t>2376.970.001.053.D.522151</t>
  </si>
  <si>
    <t>2376.970.001.053.D.524111</t>
  </si>
  <si>
    <t>2376.970.001.053.D.524113</t>
  </si>
  <si>
    <t>2376.970.001.053.D.524114</t>
  </si>
  <si>
    <t>2376.970.001.053.E.521211</t>
  </si>
  <si>
    <t>2376.970.001.053.E.521811</t>
  </si>
  <si>
    <t>2376.970.001.053.E.522151</t>
  </si>
  <si>
    <t>2376.970.001.053.E.524111</t>
  </si>
  <si>
    <t>2376.970.001.053.E.524113</t>
  </si>
  <si>
    <t>2376.970.001.053.E.524114</t>
  </si>
  <si>
    <t>2376.970.001.053.F.521211</t>
  </si>
  <si>
    <t>2376.970.001.053.F.521811</t>
  </si>
  <si>
    <t>2376.970.001.053.F.522151</t>
  </si>
  <si>
    <t>2376.970.001.053.F.524111</t>
  </si>
  <si>
    <t>2376.970.001.053.F.524113</t>
  </si>
  <si>
    <t>2376.970.001.053.F.524114</t>
  </si>
  <si>
    <t>2376.970.001.054.A.521211</t>
  </si>
  <si>
    <t>2376.970.001.054.A.522151</t>
  </si>
  <si>
    <t>2376.970.001.054.A.524111</t>
  </si>
  <si>
    <t>2376.970.001.054.A.524113</t>
  </si>
  <si>
    <t>2376.970.001.054.A.524114</t>
  </si>
  <si>
    <t>2376.970.001.055.A.521211</t>
  </si>
  <si>
    <t>2376.970.001.055.A.521811</t>
  </si>
  <si>
    <t>2376.970.001.055.A.522151</t>
  </si>
  <si>
    <t>2376.970.001.055.A.524111</t>
  </si>
  <si>
    <t>2376.970.001.055.A.524113</t>
  </si>
  <si>
    <t>2376.970.001.055.A.524114</t>
  </si>
  <si>
    <t>2376.970.001.055.B.521211</t>
  </si>
  <si>
    <t>2376.970.001.055.B.521219</t>
  </si>
  <si>
    <t>2376.970.001.055.B.522141</t>
  </si>
  <si>
    <t>2376.970.001.055.B.522151</t>
  </si>
  <si>
    <t>2376.970.001.055.B.524111</t>
  </si>
  <si>
    <t>2376.970.001.055.B.524113</t>
  </si>
  <si>
    <t>2376.970.001.055.B.524114</t>
  </si>
  <si>
    <t>2376.970.001.055.C.524111</t>
  </si>
  <si>
    <t>2376.970.001.055.D.521211</t>
  </si>
  <si>
    <t>2376.970.001.055.D.522151</t>
  </si>
  <si>
    <t>2376.970.001.055.D.524111</t>
  </si>
  <si>
    <t>2376.970.001.055.D.524113</t>
  </si>
  <si>
    <t>2376.970.001.055.D.524114</t>
  </si>
  <si>
    <t>2376.970.001.055.E.521211</t>
  </si>
  <si>
    <t>2376.970.001.055.E.522151</t>
  </si>
  <si>
    <t>2376.970.001.055.E.524111</t>
  </si>
  <si>
    <t>2376.970.001.055.E.524113</t>
  </si>
  <si>
    <t>2376.970.001.055.E.524114</t>
  </si>
  <si>
    <t>2376.970.001.055.F.521211</t>
  </si>
  <si>
    <t>2376.970.001.055.F.521219</t>
  </si>
  <si>
    <t>2376.970.001.055.F.521811</t>
  </si>
  <si>
    <t>2376.970.001.055.F.522151</t>
  </si>
  <si>
    <t>2376.970.001.055.F.524111</t>
  </si>
  <si>
    <t>2376.970.001.055.F.524113</t>
  </si>
  <si>
    <t>2376.970.001.055.F.524114</t>
  </si>
  <si>
    <t>2376.970.001.055.G.521211</t>
  </si>
  <si>
    <t>2376.970.001.055.G.521811</t>
  </si>
  <si>
    <t>2376.970.001.055.G.522151</t>
  </si>
  <si>
    <t>2376.970.001.055.G.524111</t>
  </si>
  <si>
    <t>2376.970.001.055.G.524113</t>
  </si>
  <si>
    <t>2376.970.001.055.G.524114</t>
  </si>
  <si>
    <t>2376.970.001.055.H.521211</t>
  </si>
  <si>
    <t>2376.970.001.055.H.521219</t>
  </si>
  <si>
    <t>2376.970.001.055.H.522151</t>
  </si>
  <si>
    <t>2376.970.001.055.H.524111</t>
  </si>
  <si>
    <t>2376.970.001.055.H.524114</t>
  </si>
  <si>
    <t>2376.994.001.001.A.511111</t>
  </si>
  <si>
    <t>2376.994.001.001.A.511119</t>
  </si>
  <si>
    <t>2376.994.001.001.A.511121</t>
  </si>
  <si>
    <t>2376.994.001.001.A.511122</t>
  </si>
  <si>
    <t>2376.994.001.001.A.511123</t>
  </si>
  <si>
    <t>2376.994.001.001.A.511124</t>
  </si>
  <si>
    <t>2376.994.001.001.A.511125</t>
  </si>
  <si>
    <t>2376.994.001.001.A.511126</t>
  </si>
  <si>
    <t>2376.994.001.001.A.511129</t>
  </si>
  <si>
    <t>2376.994.001.001.A.511151</t>
  </si>
  <si>
    <t>2376.994.001.001.B.512411</t>
  </si>
  <si>
    <t>2376.994.001.002.A.521111</t>
  </si>
  <si>
    <t>2376.994.001.002.A.521811</t>
  </si>
  <si>
    <t>2376.994.001.002.B.521114</t>
  </si>
  <si>
    <t>2376.994.001.002.B.522141</t>
  </si>
  <si>
    <t>2376.994.001.002.C.523121</t>
  </si>
  <si>
    <t>2376.994.001.002.C.523199</t>
  </si>
  <si>
    <t>2376.994.001.002.D.521111</t>
  </si>
  <si>
    <t>2376.994.001.002.D.521115</t>
  </si>
  <si>
    <t>2376.003.001.051.A.532111.1</t>
  </si>
  <si>
    <t>2376.003.001.051.B.533111.1</t>
  </si>
  <si>
    <t>2376.003.001.051.B.533111.2</t>
  </si>
  <si>
    <t>2376.003.001.051.B.533111.3</t>
  </si>
  <si>
    <t>2376.004.001.051.A.521211.1</t>
  </si>
  <si>
    <t>2376.004.001.051.A.521211.2</t>
  </si>
  <si>
    <t>2376.004.001.051.A.521219.1</t>
  </si>
  <si>
    <t>2376.004.001.051.A.521811.1</t>
  </si>
  <si>
    <t>2376.004.001.051.A.521811.2</t>
  </si>
  <si>
    <t>2376.004.001.051.A.522151.1</t>
  </si>
  <si>
    <t>2376.004.001.051.A.524111.1</t>
  </si>
  <si>
    <t>2376.004.001.051.A.524111.2</t>
  </si>
  <si>
    <t>2376.004.001.051.A.524114.1</t>
  </si>
  <si>
    <t>2376.004.001.051.A.524114.2</t>
  </si>
  <si>
    <t>2376.004.001.051.A.524114.3</t>
  </si>
  <si>
    <t>2376.004.001.051.B.521211.1</t>
  </si>
  <si>
    <t>2376.004.001.051.B.521211.2</t>
  </si>
  <si>
    <t>2376.004.001.051.B.521219.1</t>
  </si>
  <si>
    <t>2376.004.001.051.B.521811.1</t>
  </si>
  <si>
    <t>2376.004.001.051.B.521811.2</t>
  </si>
  <si>
    <t>2376.004.001.051.B.522151.1</t>
  </si>
  <si>
    <t>2376.004.001.051.B.524219.1</t>
  </si>
  <si>
    <t>2376.004.001.051.C.521211.1</t>
  </si>
  <si>
    <t>2376.004.001.051.C.521211.2</t>
  </si>
  <si>
    <t>2376.004.001.051.C.521219.1</t>
  </si>
  <si>
    <t>2376.004.001.051.C.521811.1</t>
  </si>
  <si>
    <t>2376.004.001.051.C.521811.2</t>
  </si>
  <si>
    <t>2376.004.001.051.C.522151.1</t>
  </si>
  <si>
    <t>2376.004.001.051.C.524111.1</t>
  </si>
  <si>
    <t>2376.004.001.051.C.524114.1</t>
  </si>
  <si>
    <t>2376.004.001.051.C.524114.2</t>
  </si>
  <si>
    <t>2376.004.001.051.C.524114.3</t>
  </si>
  <si>
    <t>2376.004.001.051.D.521211.1</t>
  </si>
  <si>
    <t>2376.004.001.051.D.521211.2</t>
  </si>
  <si>
    <t>2376.004.001.051.D.521811.1</t>
  </si>
  <si>
    <t>2376.004.001.051.D.521811.2</t>
  </si>
  <si>
    <t>2376.004.001.051.D.522151.1</t>
  </si>
  <si>
    <t>2376.004.001.051.D.524111.1</t>
  </si>
  <si>
    <t>2376.004.001.051.D.524114.1</t>
  </si>
  <si>
    <t>2376.004.001.051.D.524114.2</t>
  </si>
  <si>
    <t>2376.004.001.051.D.524114.3</t>
  </si>
  <si>
    <t>2376.966.001.051.A.521211.1</t>
  </si>
  <si>
    <t>2376.966.001.051.A.521211.2</t>
  </si>
  <si>
    <t>2376.966.001.051.A.521211.3</t>
  </si>
  <si>
    <t>2376.966.001.051.A.521211.4</t>
  </si>
  <si>
    <t>2376.966.001.051.A.521211.5</t>
  </si>
  <si>
    <t>2376.966.001.051.A.521211.6</t>
  </si>
  <si>
    <t>2376.966.001.051.A.522151.1</t>
  </si>
  <si>
    <t>2376.966.001.051.A.524111.1</t>
  </si>
  <si>
    <t>2376.966.001.051.A.524114.1</t>
  </si>
  <si>
    <t>2376.966.001.051.A.524114.2</t>
  </si>
  <si>
    <t>2376.966.001.051.A.524114.3</t>
  </si>
  <si>
    <t>2376.966.001.051.B.521211.1</t>
  </si>
  <si>
    <t>2376.966.001.051.B.521211.2</t>
  </si>
  <si>
    <t>2376.966.001.051.B.521211.3</t>
  </si>
  <si>
    <t>2376.966.001.051.B.521211.4</t>
  </si>
  <si>
    <t>2376.966.001.051.B.521211.5</t>
  </si>
  <si>
    <t>2376.966.001.051.B.521211.6</t>
  </si>
  <si>
    <t>2376.966.001.051.B.522151.1</t>
  </si>
  <si>
    <t>2376.966.001.051.B.524111.1</t>
  </si>
  <si>
    <t>2376.966.001.051.B.524114.1</t>
  </si>
  <si>
    <t>2376.966.001.051.B.524114.2</t>
  </si>
  <si>
    <t>2376.966.001.051.B.524114.3</t>
  </si>
  <si>
    <t>2376.966.001.051.C.521211.1</t>
  </si>
  <si>
    <t>2376.966.001.051.C.521211.2</t>
  </si>
  <si>
    <t>2376.966.001.051.C.521211.3</t>
  </si>
  <si>
    <t>2376.966.001.051.C.521211.4</t>
  </si>
  <si>
    <t>2376.966.001.051.C.521219.1</t>
  </si>
  <si>
    <t>2376.966.001.051.C.521219.2</t>
  </si>
  <si>
    <t>2376.966.001.051.C.522151.1</t>
  </si>
  <si>
    <t>2376.966.001.051.C.524111.1</t>
  </si>
  <si>
    <t>2376.966.001.051.C.524114.1</t>
  </si>
  <si>
    <t>2376.966.001.051.C.524114.2</t>
  </si>
  <si>
    <t>2376.966.001.051.C.524114.3</t>
  </si>
  <si>
    <t>2376.966.001.051.D.521211.1</t>
  </si>
  <si>
    <t>2376.966.001.051.D.521211.2</t>
  </si>
  <si>
    <t>2376.966.001.051.D.521211.3</t>
  </si>
  <si>
    <t>2376.966.001.051.D.521211.4</t>
  </si>
  <si>
    <t>2376.966.001.051.D.522151.1</t>
  </si>
  <si>
    <t>2376.966.001.051.D.524111.1</t>
  </si>
  <si>
    <t>2376.966.001.051.D.524114.1</t>
  </si>
  <si>
    <t>2376.966.001.051.D.524114.2</t>
  </si>
  <si>
    <t>2376.966.001.051.D.524114.3</t>
  </si>
  <si>
    <t>2376.966.001.051.E.521211.1</t>
  </si>
  <si>
    <t>2376.966.001.051.E.521211.2</t>
  </si>
  <si>
    <t>2376.966.001.051.E.521211.3</t>
  </si>
  <si>
    <t>2376.966.001.051.E.521219.1</t>
  </si>
  <si>
    <t>2376.966.001.051.E.521811.1</t>
  </si>
  <si>
    <t>2376.966.001.051.E.521811.2</t>
  </si>
  <si>
    <t>2376.966.001.051.E.522151.1</t>
  </si>
  <si>
    <t>2376.966.001.051.E.524111.1</t>
  </si>
  <si>
    <t>2376.966.001.051.E.524113.1</t>
  </si>
  <si>
    <t>2376.966.001.051.E.524114.1</t>
  </si>
  <si>
    <t>2376.966.001.051.E.524114.2</t>
  </si>
  <si>
    <t>2376.966.001.051.E.524114.3</t>
  </si>
  <si>
    <t>2376.966.001.051.F.521211.1</t>
  </si>
  <si>
    <t>2376.966.001.051.F.521211.2</t>
  </si>
  <si>
    <t>2376.966.001.051.F.521811.1</t>
  </si>
  <si>
    <t>2376.966.001.051.F.521811.2</t>
  </si>
  <si>
    <t>2376.966.001.051.F.522151.1</t>
  </si>
  <si>
    <t>2376.966.001.051.F.524111.1</t>
  </si>
  <si>
    <t>2376.966.001.051.F.524113.1</t>
  </si>
  <si>
    <t>2376.966.001.051.F.524114.1</t>
  </si>
  <si>
    <t>2376.966.001.051.F.524114.2</t>
  </si>
  <si>
    <t>2376.966.001.051.F.524114.3</t>
  </si>
  <si>
    <t>2376.966.001.051.G.521211.1</t>
  </si>
  <si>
    <t>2376.966.001.051.G.521211.2</t>
  </si>
  <si>
    <t>2376.966.001.051.G.521811.1</t>
  </si>
  <si>
    <t>2376.966.001.051.G.521811.2</t>
  </si>
  <si>
    <t>2376.966.001.051.G.522151.1</t>
  </si>
  <si>
    <t>2376.966.001.051.G.524111.1</t>
  </si>
  <si>
    <t>2376.966.001.051.G.524113.1</t>
  </si>
  <si>
    <t>2376.966.001.051.G.524114.1</t>
  </si>
  <si>
    <t>2376.966.001.051.G.524114.2</t>
  </si>
  <si>
    <t>2376.966.001.051.G.524114.3</t>
  </si>
  <si>
    <t>2376.966.001.051.H.521211.1</t>
  </si>
  <si>
    <t>2376.966.001.051.H.521211.2</t>
  </si>
  <si>
    <t>2376.966.001.051.H.521211.3</t>
  </si>
  <si>
    <t>2376.966.001.051.H.521211.4</t>
  </si>
  <si>
    <t>2376.966.001.051.H.522151.1</t>
  </si>
  <si>
    <t>2376.966.001.051.H.524111.1</t>
  </si>
  <si>
    <t>2376.966.001.051.H.524113.1</t>
  </si>
  <si>
    <t>2376.966.001.051.H.524114.1</t>
  </si>
  <si>
    <t>2376.966.001.051.H.524114.2</t>
  </si>
  <si>
    <t>2376.966.001.051.H.524114.3</t>
  </si>
  <si>
    <t>2376.966.001.051.I.521211.1</t>
  </si>
  <si>
    <t>2376.966.001.051.I.521211.2</t>
  </si>
  <si>
    <t>2376.966.001.051.I.521211.3</t>
  </si>
  <si>
    <t>2376.966.001.051.I.521211.4</t>
  </si>
  <si>
    <t>2376.966.001.051.I.522151.1</t>
  </si>
  <si>
    <t>2376.966.001.051.I.524111.1</t>
  </si>
  <si>
    <t>2376.966.001.051.I.524113.1</t>
  </si>
  <si>
    <t>2376.966.001.051.I.524114.1</t>
  </si>
  <si>
    <t>2376.966.001.051.I.524114.2</t>
  </si>
  <si>
    <t>2376.966.001.051.I.524114.3</t>
  </si>
  <si>
    <t>2376.966.001.053.A.521211.1</t>
  </si>
  <si>
    <t>2376.966.001.053.A.521211.2</t>
  </si>
  <si>
    <t>2376.966.001.053.A.521211.3</t>
  </si>
  <si>
    <t>2376.966.001.053.A.521211.4</t>
  </si>
  <si>
    <t>2376.966.001.053.A.521219.1</t>
  </si>
  <si>
    <t>2376.966.001.053.A.522151.1</t>
  </si>
  <si>
    <t>2376.966.001.053.A.524111.1</t>
  </si>
  <si>
    <t>2376.966.001.053.A.524114.1</t>
  </si>
  <si>
    <t>2376.966.001.053.A.524114.2</t>
  </si>
  <si>
    <t>2376.966.001.053.A.524114.3</t>
  </si>
  <si>
    <t>2376.966.001.053.B.521211.1</t>
  </si>
  <si>
    <t>2376.966.001.053.B.521211.2</t>
  </si>
  <si>
    <t>2376.966.001.053.B.521211.3</t>
  </si>
  <si>
    <t>2376.966.001.053.B.521211.4</t>
  </si>
  <si>
    <t>2376.966.001.053.B.524114.1</t>
  </si>
  <si>
    <t>2376.966.001.053.B.524114.2</t>
  </si>
  <si>
    <t>2376.966.001.053.B.524114.3</t>
  </si>
  <si>
    <t>2376.966.001.053.C.521211.1</t>
  </si>
  <si>
    <t>2376.966.001.053.C.521211.2</t>
  </si>
  <si>
    <t>2376.966.001.053.C.521211.3</t>
  </si>
  <si>
    <t>2376.966.001.053.C.521211.4</t>
  </si>
  <si>
    <t>2376.966.001.053.C.521211.5</t>
  </si>
  <si>
    <t>2376.966.001.053.C.524111.1</t>
  </si>
  <si>
    <t>2376.966.001.053.C.524114.1</t>
  </si>
  <si>
    <t>2376.966.001.053.C.524114.2</t>
  </si>
  <si>
    <t>2376.966.001.053.C.524114.3</t>
  </si>
  <si>
    <t>2376.966.001.053.D.521211.1</t>
  </si>
  <si>
    <t>2376.966.001.053.D.521211.2</t>
  </si>
  <si>
    <t>2376.966.001.053.D.521211.3</t>
  </si>
  <si>
    <t>2376.966.001.053.D.521211.4</t>
  </si>
  <si>
    <t>2376.966.001.053.D.521211.5</t>
  </si>
  <si>
    <t>2376.966.001.053.D.524111.1</t>
  </si>
  <si>
    <t>2376.966.001.053.D.524114.1</t>
  </si>
  <si>
    <t>2376.966.001.053.D.524114.2</t>
  </si>
  <si>
    <t>2376.966.001.053.D.524114.3</t>
  </si>
  <si>
    <t>2376.966.001.053.E.521211.1</t>
  </si>
  <si>
    <t>2376.966.001.053.E.521211.2</t>
  </si>
  <si>
    <t>2376.966.001.053.E.521211.3</t>
  </si>
  <si>
    <t>2376.966.001.053.E.521211.4</t>
  </si>
  <si>
    <t>2376.966.001.053.E.521211.5</t>
  </si>
  <si>
    <t>2376.966.001.053.E.524114.1</t>
  </si>
  <si>
    <t>2376.966.001.053.E.524114.2</t>
  </si>
  <si>
    <t>2376.966.001.053.E.524114.3</t>
  </si>
  <si>
    <t>2376.966.001.053.F.521211.1</t>
  </si>
  <si>
    <t>2376.966.001.053.F.521211.2</t>
  </si>
  <si>
    <t>2376.966.001.053.F.521211.3</t>
  </si>
  <si>
    <t>2376.966.001.053.F.521211.4</t>
  </si>
  <si>
    <t>2376.966.001.053.F.521211.5</t>
  </si>
  <si>
    <t>2376.966.001.053.F.521219.1</t>
  </si>
  <si>
    <t>2376.966.001.053.F.522151.1</t>
  </si>
  <si>
    <t>2376.966.001.053.F.524113.1</t>
  </si>
  <si>
    <t>2376.966.001.053.F.524114.1</t>
  </si>
  <si>
    <t>2376.966.001.053.F.524114.2</t>
  </si>
  <si>
    <t>2376.966.001.053.F.524114.3</t>
  </si>
  <si>
    <t>2376.966.001.053.G.521211.1</t>
  </si>
  <si>
    <t>2376.966.001.053.G.521211.2</t>
  </si>
  <si>
    <t>2376.966.001.053.G.521211.3</t>
  </si>
  <si>
    <t>2376.966.001.053.G.521211.4</t>
  </si>
  <si>
    <t>2376.966.001.053.G.521211.5</t>
  </si>
  <si>
    <t>2376.966.001.053.G.521219.1</t>
  </si>
  <si>
    <t>2376.966.001.053.G.522151.1</t>
  </si>
  <si>
    <t>2376.966.001.053.G.524111.1</t>
  </si>
  <si>
    <t>2376.966.001.053.G.524113.1</t>
  </si>
  <si>
    <t>2376.966.001.053.G.524114.1</t>
  </si>
  <si>
    <t>2376.966.001.053.G.524114.2</t>
  </si>
  <si>
    <t>2376.966.001.053.G.524114.3</t>
  </si>
  <si>
    <t>2376.966.001.053.H.521211.1</t>
  </si>
  <si>
    <t>2376.966.001.053.H.521211.2</t>
  </si>
  <si>
    <t>2376.966.001.053.H.521211.3</t>
  </si>
  <si>
    <t>2376.966.001.053.H.521211.4</t>
  </si>
  <si>
    <t>2376.966.001.053.H.521211.5</t>
  </si>
  <si>
    <t>2376.966.001.053.H.521219.1</t>
  </si>
  <si>
    <t>2376.966.001.053.H.522151.1</t>
  </si>
  <si>
    <t>2376.966.001.053.H.524111.1</t>
  </si>
  <si>
    <t>2376.966.001.053.H.524113.1</t>
  </si>
  <si>
    <t>2376.966.001.053.H.524114.1</t>
  </si>
  <si>
    <t>2376.966.001.053.H.524114.2</t>
  </si>
  <si>
    <t>2376.966.001.053.H.524114.3</t>
  </si>
  <si>
    <t>2376.970.001.051.A.521211.1</t>
  </si>
  <si>
    <t>2376.970.001.051.A.521211.2</t>
  </si>
  <si>
    <t>2376.970.001.051.A.521211.3</t>
  </si>
  <si>
    <t>2376.970.001.051.A.521211.4</t>
  </si>
  <si>
    <t>2376.970.001.051.A.521811.1</t>
  </si>
  <si>
    <t>2376.970.001.051.A.521811.2</t>
  </si>
  <si>
    <t>2376.970.001.051.A.522151.1</t>
  </si>
  <si>
    <t>2376.970.001.051.A.524111.1</t>
  </si>
  <si>
    <t>2376.970.001.051.A.524114.1</t>
  </si>
  <si>
    <t>2376.970.001.051.A.524114.2</t>
  </si>
  <si>
    <t>2376.970.001.051.A.524114.3</t>
  </si>
  <si>
    <t>2376.970.001.051.A.524119.1</t>
  </si>
  <si>
    <t>2376.970.001.051.A.524119.2</t>
  </si>
  <si>
    <t>2376.970.001.051.A.524119.3</t>
  </si>
  <si>
    <t>2376.970.001.051.A.524119.4</t>
  </si>
  <si>
    <t>2376.970.001.051.A.524119.5</t>
  </si>
  <si>
    <t>2376.970.001.051.A.524119.6</t>
  </si>
  <si>
    <t>2376.970.001.051.B.521211.1</t>
  </si>
  <si>
    <t>2376.970.001.051.B.521211.2</t>
  </si>
  <si>
    <t>2376.970.001.051.B.521211.3</t>
  </si>
  <si>
    <t>2376.970.001.051.B.521811.1</t>
  </si>
  <si>
    <t>2376.970.001.051.B.521811.2</t>
  </si>
  <si>
    <t>2376.970.001.051.B.522151.1</t>
  </si>
  <si>
    <t>2376.970.001.051.B.524111.1</t>
  </si>
  <si>
    <t>2376.970.001.051.B.524113.1</t>
  </si>
  <si>
    <t>2376.970.001.051.B.524114.1</t>
  </si>
  <si>
    <t>2376.970.001.051.B.524114.2</t>
  </si>
  <si>
    <t>2376.970.001.051.B.524114.3</t>
  </si>
  <si>
    <t>2376.970.001.051.E.521211.1</t>
  </si>
  <si>
    <t>2376.970.001.051.E.521211.2</t>
  </si>
  <si>
    <t>2376.970.001.051.E.521211.3</t>
  </si>
  <si>
    <t>2376.970.001.051.E.521211.4</t>
  </si>
  <si>
    <t>2376.970.001.051.E.521211.5</t>
  </si>
  <si>
    <t>2376.970.001.051.E.521211.6</t>
  </si>
  <si>
    <t>2376.970.001.051.E.521219.1</t>
  </si>
  <si>
    <t>2376.970.001.051.E.522151.1</t>
  </si>
  <si>
    <t>2376.970.001.051.E.524111.1</t>
  </si>
  <si>
    <t>2376.970.001.051.E.524114.1</t>
  </si>
  <si>
    <t>2376.970.001.051.E.524114.2</t>
  </si>
  <si>
    <t>2376.970.001.051.E.524114.3</t>
  </si>
  <si>
    <t>2376.970.001.051.E.524119.1</t>
  </si>
  <si>
    <t>2376.970.001.051.E.524119.2</t>
  </si>
  <si>
    <t>2376.970.001.051.E.524119.3</t>
  </si>
  <si>
    <t>2376.970.001.051.E.524119.4</t>
  </si>
  <si>
    <t>2376.970.001.051.E.524119.5</t>
  </si>
  <si>
    <t>2376.970.001.051.E.524119.6</t>
  </si>
  <si>
    <t>2376.970.001.052.A.521211.1</t>
  </si>
  <si>
    <t>2376.970.001.052.A.521211.2</t>
  </si>
  <si>
    <t>2376.970.001.052.A.521211.3</t>
  </si>
  <si>
    <t>2376.970.001.052.A.521211.4</t>
  </si>
  <si>
    <t>2376.970.001.052.A.521211.5</t>
  </si>
  <si>
    <t>2376.970.001.052.A.522151.1</t>
  </si>
  <si>
    <t>2376.970.001.052.A.524111.1</t>
  </si>
  <si>
    <t>2376.970.001.052.A.524113.1</t>
  </si>
  <si>
    <t>2376.970.001.052.A.524114.1</t>
  </si>
  <si>
    <t>2376.970.001.052.A.524114.2</t>
  </si>
  <si>
    <t>2376.970.001.052.A.524114.3</t>
  </si>
  <si>
    <t>2376.970.001.052.B.521211.1</t>
  </si>
  <si>
    <t>2376.970.001.052.B.521211.2</t>
  </si>
  <si>
    <t>2376.970.001.052.B.521211.3</t>
  </si>
  <si>
    <t>2376.970.001.052.B.521211.4</t>
  </si>
  <si>
    <t>2376.970.001.052.B.521211.5</t>
  </si>
  <si>
    <t>2376.970.001.052.B.521219.1</t>
  </si>
  <si>
    <t>2376.970.001.052.B.522151.1</t>
  </si>
  <si>
    <t>2376.970.001.052.B.524111.1</t>
  </si>
  <si>
    <t>2376.970.001.052.B.524113.1</t>
  </si>
  <si>
    <t>2376.970.001.052.B.524114.1</t>
  </si>
  <si>
    <t>2376.970.001.052.B.524114.2</t>
  </si>
  <si>
    <t>2376.970.001.052.B.524114.3</t>
  </si>
  <si>
    <t>2376.970.001.052.C.521211.1</t>
  </si>
  <si>
    <t>2376.970.001.052.C.521211.2</t>
  </si>
  <si>
    <t>2376.970.001.052.C.521211.3</t>
  </si>
  <si>
    <t>2376.970.001.052.C.521211.4</t>
  </si>
  <si>
    <t>2376.970.001.052.C.521211.5</t>
  </si>
  <si>
    <t>2376.970.001.052.C.524113.1</t>
  </si>
  <si>
    <t>2376.970.001.052.C.524114.1</t>
  </si>
  <si>
    <t>2376.970.001.052.C.524114.2</t>
  </si>
  <si>
    <t>2376.970.001.052.C.524114.3</t>
  </si>
  <si>
    <t>2376.970.001.052.D.521211.1</t>
  </si>
  <si>
    <t>2376.970.001.052.D.521211.2</t>
  </si>
  <si>
    <t>2376.970.001.052.D.521211.3</t>
  </si>
  <si>
    <t>2376.970.001.052.D.521211.4</t>
  </si>
  <si>
    <t>2376.970.001.052.D.521211.5</t>
  </si>
  <si>
    <t>2376.970.001.052.D.522151.1</t>
  </si>
  <si>
    <t>2376.970.001.052.D.524111.1</t>
  </si>
  <si>
    <t>2376.970.001.052.D.524114.1</t>
  </si>
  <si>
    <t>2376.970.001.052.D.524114.2</t>
  </si>
  <si>
    <t>2376.970.001.052.D.524114.3</t>
  </si>
  <si>
    <t>2376.970.001.053.A.521211.1</t>
  </si>
  <si>
    <t>2376.970.001.053.A.521211.2</t>
  </si>
  <si>
    <t>2376.970.001.053.A.521211.3</t>
  </si>
  <si>
    <t>2376.970.001.053.A.521811.1</t>
  </si>
  <si>
    <t>2376.970.001.053.A.521811.2</t>
  </si>
  <si>
    <t>2376.970.001.053.A.522151.1</t>
  </si>
  <si>
    <t>2376.970.001.053.A.524111.1</t>
  </si>
  <si>
    <t>2376.970.001.053.A.524113.1</t>
  </si>
  <si>
    <t>2376.970.001.053.A.524114.1</t>
  </si>
  <si>
    <t>2376.970.001.053.A.524114.2</t>
  </si>
  <si>
    <t>2376.970.001.053.A.524114.3</t>
  </si>
  <si>
    <t>2376.970.001.053.B.521211.1</t>
  </si>
  <si>
    <t>2376.970.001.053.B.521211.2</t>
  </si>
  <si>
    <t>2376.970.001.053.B.521211.3</t>
  </si>
  <si>
    <t>2376.970.001.053.B.521211.4</t>
  </si>
  <si>
    <t>2376.970.001.053.B.524111.1</t>
  </si>
  <si>
    <t>2376.970.001.053.B.524113.1</t>
  </si>
  <si>
    <t>2376.970.001.053.B.524114.1</t>
  </si>
  <si>
    <t>2376.970.001.053.B.524114.2</t>
  </si>
  <si>
    <t>2376.970.001.053.B.524114.3</t>
  </si>
  <si>
    <t>2376.970.001.053.C.521211.1</t>
  </si>
  <si>
    <t>2376.970.001.053.C.521211.2</t>
  </si>
  <si>
    <t>2376.970.001.053.C.521811.1</t>
  </si>
  <si>
    <t>2376.970.001.053.C.521811.2</t>
  </si>
  <si>
    <t>2376.970.001.053.C.524111.1</t>
  </si>
  <si>
    <t>2376.970.001.053.C.524113.1</t>
  </si>
  <si>
    <t>2376.970.001.053.C.524114.1</t>
  </si>
  <si>
    <t>2376.970.001.053.C.524114.2</t>
  </si>
  <si>
    <t>2376.970.001.053.C.524114.3</t>
  </si>
  <si>
    <t>2376.970.001.053.D.521211.1</t>
  </si>
  <si>
    <t>2376.970.001.053.D.521211.2</t>
  </si>
  <si>
    <t>2376.970.001.053.D.521811.1</t>
  </si>
  <si>
    <t>2376.970.001.053.D.521811.2</t>
  </si>
  <si>
    <t>2376.970.001.053.D.522151.1</t>
  </si>
  <si>
    <t>2376.970.001.053.D.524111.1</t>
  </si>
  <si>
    <t>2376.970.001.053.D.524113.1</t>
  </si>
  <si>
    <t>2376.970.001.053.D.524114.1</t>
  </si>
  <si>
    <t>2376.970.001.053.D.524114.2</t>
  </si>
  <si>
    <t>2376.970.001.053.D.524114.3</t>
  </si>
  <si>
    <t>2376.970.001.053.E.521211.1</t>
  </si>
  <si>
    <t>2376.970.001.053.E.521211.2</t>
  </si>
  <si>
    <t>2376.970.001.053.E.521211.3</t>
  </si>
  <si>
    <t>2376.970.001.053.E.521811.1</t>
  </si>
  <si>
    <t>2376.970.001.053.E.521811.2</t>
  </si>
  <si>
    <t>2376.970.001.053.E.522151.1</t>
  </si>
  <si>
    <t>2376.970.001.053.E.524111.1</t>
  </si>
  <si>
    <t>2376.970.001.053.E.524113.1</t>
  </si>
  <si>
    <t>2376.970.001.053.E.524114.1</t>
  </si>
  <si>
    <t>2376.970.001.053.E.524114.2</t>
  </si>
  <si>
    <t>2376.970.001.053.E.524114.3</t>
  </si>
  <si>
    <t>2376.970.001.053.F.521211.1</t>
  </si>
  <si>
    <t>2376.970.001.053.F.521211.2</t>
  </si>
  <si>
    <t>2376.970.001.053.F.521811.1</t>
  </si>
  <si>
    <t>2376.970.001.053.F.521811.2</t>
  </si>
  <si>
    <t>2376.970.001.053.F.522151.1</t>
  </si>
  <si>
    <t>2376.970.001.053.F.524111.1</t>
  </si>
  <si>
    <t>2376.970.001.053.F.524113.1</t>
  </si>
  <si>
    <t>2376.970.001.053.F.524114.1</t>
  </si>
  <si>
    <t>2376.970.001.053.F.524114.2</t>
  </si>
  <si>
    <t>2376.970.001.053.F.524114.3</t>
  </si>
  <si>
    <t>2376.970.001.054.A.521211.1</t>
  </si>
  <si>
    <t>2376.970.001.054.A.521211.2</t>
  </si>
  <si>
    <t>2376.970.001.054.A.521211.3</t>
  </si>
  <si>
    <t>2376.970.001.054.A.521211.4</t>
  </si>
  <si>
    <t>2376.970.001.054.A.522151.1</t>
  </si>
  <si>
    <t>2376.970.001.054.A.524111.1</t>
  </si>
  <si>
    <t>2376.970.001.054.A.524113.1</t>
  </si>
  <si>
    <t>2376.970.001.054.A.524114.1</t>
  </si>
  <si>
    <t>2376.970.001.054.A.524114.2</t>
  </si>
  <si>
    <t>2376.970.001.054.A.524114.3</t>
  </si>
  <si>
    <t>2376.970.001.055.A.521211.1</t>
  </si>
  <si>
    <t>2376.970.001.055.A.521211.2</t>
  </si>
  <si>
    <t>2376.970.001.055.A.521811.1</t>
  </si>
  <si>
    <t>2376.970.001.055.A.521811.2</t>
  </si>
  <si>
    <t>2376.970.001.055.A.522151.1</t>
  </si>
  <si>
    <t>2376.970.001.055.A.524111.1</t>
  </si>
  <si>
    <t>2376.970.001.055.A.524111.2</t>
  </si>
  <si>
    <t>2376.970.001.055.A.524111.3</t>
  </si>
  <si>
    <t>2376.970.001.055.A.524111.4</t>
  </si>
  <si>
    <t>2376.970.001.055.A.524113.1</t>
  </si>
  <si>
    <t>2376.970.001.055.A.524114.1</t>
  </si>
  <si>
    <t>2376.970.001.055.A.524114.2</t>
  </si>
  <si>
    <t>2376.970.001.055.A.524114.3</t>
  </si>
  <si>
    <t>2376.970.001.055.B.521211.1</t>
  </si>
  <si>
    <t>2376.970.001.055.B.521211.2</t>
  </si>
  <si>
    <t>2376.970.001.055.B.521211.3</t>
  </si>
  <si>
    <t>2376.970.001.055.B.521211.4</t>
  </si>
  <si>
    <t>2376.970.001.055.B.521219.1</t>
  </si>
  <si>
    <t>2376.970.001.055.B.522141.1</t>
  </si>
  <si>
    <t>2376.970.001.055.B.522151.1</t>
  </si>
  <si>
    <t>2376.970.001.055.B.524111.1</t>
  </si>
  <si>
    <t>2376.970.001.055.B.524113.1</t>
  </si>
  <si>
    <t>2376.970.001.055.B.524114.1</t>
  </si>
  <si>
    <t>2376.970.001.055.B.524114.2</t>
  </si>
  <si>
    <t>2376.970.001.055.B.524114.3</t>
  </si>
  <si>
    <t>2376.970.001.055.C.524111.1</t>
  </si>
  <si>
    <t>2376.970.001.055.C.524111.2</t>
  </si>
  <si>
    <t>2376.970.001.055.C.524111.3</t>
  </si>
  <si>
    <t>2376.970.001.055.D.521211.1</t>
  </si>
  <si>
    <t>2376.970.001.055.D.521211.2</t>
  </si>
  <si>
    <t>2376.970.001.055.D.521211.3</t>
  </si>
  <si>
    <t>2376.970.001.055.D.521211.4</t>
  </si>
  <si>
    <t>2376.970.001.055.D.522151.1</t>
  </si>
  <si>
    <t>2376.970.001.055.D.524111.1</t>
  </si>
  <si>
    <t>2376.970.001.055.D.524111.2</t>
  </si>
  <si>
    <t>2376.970.001.055.D.524113.1</t>
  </si>
  <si>
    <t>2376.970.001.055.D.524114.1</t>
  </si>
  <si>
    <t>2376.970.001.055.D.524114.2</t>
  </si>
  <si>
    <t>2376.970.001.055.D.524114.3</t>
  </si>
  <si>
    <t>2376.970.001.055.E.521211.1</t>
  </si>
  <si>
    <t>2376.970.001.055.E.521211.2</t>
  </si>
  <si>
    <t>2376.970.001.055.E.521211.3</t>
  </si>
  <si>
    <t>2376.970.001.055.E.521211.4</t>
  </si>
  <si>
    <t>2376.970.001.055.E.522151.1</t>
  </si>
  <si>
    <t>2376.970.001.055.E.524111.1</t>
  </si>
  <si>
    <t>2376.970.001.055.E.524111.2</t>
  </si>
  <si>
    <t>2376.970.001.055.E.524111.3</t>
  </si>
  <si>
    <t>2376.970.001.055.E.524113.1</t>
  </si>
  <si>
    <t>2376.970.001.055.E.524114.1</t>
  </si>
  <si>
    <t>2376.970.001.055.E.524114.2</t>
  </si>
  <si>
    <t>2376.970.001.055.E.524114.3</t>
  </si>
  <si>
    <t>2376.970.001.055.F.521211.1</t>
  </si>
  <si>
    <t>2376.970.001.055.F.521211.2</t>
  </si>
  <si>
    <t>2376.970.001.055.F.521211.3</t>
  </si>
  <si>
    <t>2376.970.001.055.F.521219.1</t>
  </si>
  <si>
    <t>2376.970.001.055.F.521811.1</t>
  </si>
  <si>
    <t>2376.970.001.055.F.521811.2</t>
  </si>
  <si>
    <t>2376.970.001.055.F.522151.1</t>
  </si>
  <si>
    <t>2376.970.001.055.F.524111.1</t>
  </si>
  <si>
    <t>2376.970.001.055.F.524113.1</t>
  </si>
  <si>
    <t>2376.970.001.055.F.524114.1</t>
  </si>
  <si>
    <t>2376.970.001.055.F.524114.2</t>
  </si>
  <si>
    <t>2376.970.001.055.F.524114.3</t>
  </si>
  <si>
    <t>2376.970.001.055.G.521211.1</t>
  </si>
  <si>
    <t>2376.970.001.055.G.521211.2</t>
  </si>
  <si>
    <t>2376.970.001.055.G.521811.1</t>
  </si>
  <si>
    <t>2376.970.001.055.G.521811.2</t>
  </si>
  <si>
    <t>2376.970.001.055.G.522151.1</t>
  </si>
  <si>
    <t>2376.970.001.055.G.524111.1</t>
  </si>
  <si>
    <t>2376.970.001.055.G.524113.1</t>
  </si>
  <si>
    <t>2376.970.001.055.G.524114.1</t>
  </si>
  <si>
    <t>2376.970.001.055.G.524114.2</t>
  </si>
  <si>
    <t>2376.970.001.055.G.524114.3</t>
  </si>
  <si>
    <t>2376.970.001.055.H.521211.1</t>
  </si>
  <si>
    <t>2376.970.001.055.H.521211.2</t>
  </si>
  <si>
    <t>2376.970.001.055.H.521211.3</t>
  </si>
  <si>
    <t>2376.970.001.055.H.521211.4</t>
  </si>
  <si>
    <t>2376.970.001.055.H.521211.5</t>
  </si>
  <si>
    <t>2376.970.001.055.H.521219.1</t>
  </si>
  <si>
    <t>2376.970.001.055.H.522151.1</t>
  </si>
  <si>
    <t>2376.970.001.055.H.524111.1</t>
  </si>
  <si>
    <t>2376.970.001.055.H.524114.1</t>
  </si>
  <si>
    <t>2376.970.001.055.H.524114.2</t>
  </si>
  <si>
    <t>2376.970.001.055.H.524114.3</t>
  </si>
  <si>
    <t>2376.994.001.001.A.511111.1</t>
  </si>
  <si>
    <t>2376.994.001.001.A.511111.2</t>
  </si>
  <si>
    <t>2376.994.001.001.A.511111.3</t>
  </si>
  <si>
    <t>2376.994.001.001.A.511119.1</t>
  </si>
  <si>
    <t>2376.994.001.001.A.511119.2</t>
  </si>
  <si>
    <t>2376.994.001.001.A.511119.3</t>
  </si>
  <si>
    <t>2376.994.001.001.A.511121.1</t>
  </si>
  <si>
    <t>2376.994.001.001.A.511121.2</t>
  </si>
  <si>
    <t>2376.994.001.001.A.511121.3</t>
  </si>
  <si>
    <t>2376.994.001.001.A.511122.1</t>
  </si>
  <si>
    <t>2376.994.001.001.A.511122.2</t>
  </si>
  <si>
    <t>2376.994.001.001.A.511122.3</t>
  </si>
  <si>
    <t>2376.994.001.001.A.511123.1</t>
  </si>
  <si>
    <t>2376.994.001.001.A.511123.2</t>
  </si>
  <si>
    <t>2376.994.001.001.A.511123.3</t>
  </si>
  <si>
    <t>2376.994.001.001.A.511124.1</t>
  </si>
  <si>
    <t>2376.994.001.001.A.511124.2</t>
  </si>
  <si>
    <t>2376.994.001.001.A.511124.3</t>
  </si>
  <si>
    <t>2376.994.001.001.A.511125.1</t>
  </si>
  <si>
    <t>2376.994.001.001.A.511125.2</t>
  </si>
  <si>
    <t>2376.994.001.001.A.511125.3</t>
  </si>
  <si>
    <t>2376.994.001.001.A.511126.1</t>
  </si>
  <si>
    <t>2376.994.001.001.A.511129.1</t>
  </si>
  <si>
    <t>2376.994.001.001.A.511151.1</t>
  </si>
  <si>
    <t>2376.994.001.001.A.511151.2</t>
  </si>
  <si>
    <t>2376.994.001.001.A.511151.3</t>
  </si>
  <si>
    <t>2376.994.001.001.B.512411.1</t>
  </si>
  <si>
    <t>2376.994.001.001.B.512411.2</t>
  </si>
  <si>
    <t>2376.994.001.001.B.512411.3</t>
  </si>
  <si>
    <t>2376.994.001.002.A.521111.1</t>
  </si>
  <si>
    <t>2376.994.001.002.A.521111.2</t>
  </si>
  <si>
    <t>2376.994.001.002.A.521111.3</t>
  </si>
  <si>
    <t>2376.994.001.002.A.521111.4</t>
  </si>
  <si>
    <t>2376.994.001.002.A.521111.5</t>
  </si>
  <si>
    <t>2376.994.001.002.A.521111.6</t>
  </si>
  <si>
    <t>2376.994.001.002.A.521811.1</t>
  </si>
  <si>
    <t>2376.994.001.002.A.521811.2</t>
  </si>
  <si>
    <t>2376.994.001.002.A.521811.3</t>
  </si>
  <si>
    <t>2376.994.001.002.A.521811.4</t>
  </si>
  <si>
    <t>2376.994.001.002.A.521811.5</t>
  </si>
  <si>
    <t>2376.994.001.002.A.521811.6</t>
  </si>
  <si>
    <t>2376.994.001.002.A.521811.7</t>
  </si>
  <si>
    <t>2376.994.001.002.A.521811.8</t>
  </si>
  <si>
    <t>2376.994.001.002.A.521811.9</t>
  </si>
  <si>
    <t>2376.994.001.002.A.521811.10</t>
  </si>
  <si>
    <t>2376.994.001.002.B.521114.1</t>
  </si>
  <si>
    <t>2376.994.001.002.B.522141.1</t>
  </si>
  <si>
    <t>2376.994.001.002.B.522141.2</t>
  </si>
  <si>
    <t>2376.994.001.002.C.523121.1</t>
  </si>
  <si>
    <t>2376.994.001.002.C.523121.2</t>
  </si>
  <si>
    <t>2376.994.001.002.C.523121.3</t>
  </si>
  <si>
    <t>2376.994.001.002.C.523121.4</t>
  </si>
  <si>
    <t>2376.994.001.002.C.523121.5</t>
  </si>
  <si>
    <t>2376.994.001.002.C.523121.6</t>
  </si>
  <si>
    <t>2376.994.001.002.C.523121.7</t>
  </si>
  <si>
    <t>2376.994.001.002.C.523121.8</t>
  </si>
  <si>
    <t>2376.994.001.002.C.523121.9</t>
  </si>
  <si>
    <t>2376.994.001.002.C.523121.10</t>
  </si>
  <si>
    <t>2376.994.001.002.C.523199.1</t>
  </si>
  <si>
    <t>2376.994.001.002.D.521111.1</t>
  </si>
  <si>
    <t>2376.994.001.002.D.521111.2</t>
  </si>
  <si>
    <t>2376.994.001.002.D.521115.1</t>
  </si>
  <si>
    <t>2376.994.001.002.D.521115.2</t>
  </si>
  <si>
    <t>2376.994.001.002.D.521115.3</t>
  </si>
  <si>
    <t>2376.994.001.002.D.521115.4</t>
  </si>
  <si>
    <t>2376.994.001.002.D.521115.5</t>
  </si>
  <si>
    <t>2376.994.001.002.D.521115.6</t>
  </si>
  <si>
    <t>2376.994.001.002.D.521115.7</t>
  </si>
  <si>
    <t>2376.994.001.002.D.521115.8</t>
  </si>
  <si>
    <t>2376.994.001.002.D.521115.9</t>
  </si>
  <si>
    <t>2376.994.001.002.D.521115.10</t>
  </si>
  <si>
    <t>2376.994.001.002.D.521115.11</t>
  </si>
  <si>
    <t>2376.994.001.002.D.521115.12</t>
  </si>
  <si>
    <t>2376.994.001.002.D.521115.13</t>
  </si>
  <si>
    <t>2376.994.001.002.D.521115.14</t>
  </si>
  <si>
    <t>2376.994.001.002.D.521115.15</t>
  </si>
  <si>
    <t>Nomor Bukti</t>
  </si>
  <si>
    <t>Kegiatan</t>
  </si>
  <si>
    <t>No Kuitansi</t>
  </si>
  <si>
    <t>Tgl Kuitansi</t>
  </si>
  <si>
    <t>Keperluan</t>
  </si>
  <si>
    <t>Nama Barang</t>
  </si>
  <si>
    <t>Satuan</t>
  </si>
  <si>
    <t>PPn</t>
  </si>
  <si>
    <t>PPh Psl 21</t>
  </si>
  <si>
    <t>PPh Psl 22</t>
  </si>
  <si>
    <t>PPh Psl 23</t>
  </si>
  <si>
    <t>PPh Psl 24</t>
  </si>
  <si>
    <t>Volume</t>
  </si>
  <si>
    <t>Tanggal Kegiatan</t>
  </si>
  <si>
    <t>DAFTAR KUITANSI</t>
  </si>
  <si>
    <t>DAFTAR DETIL KUITANSI</t>
  </si>
  <si>
    <t>Jumlah Harga</t>
  </si>
  <si>
    <t>NAMA BARANG</t>
  </si>
  <si>
    <t>SATUAN</t>
  </si>
  <si>
    <t>H. SATUAN</t>
  </si>
  <si>
    <t>JML BARANG TERIMA</t>
  </si>
  <si>
    <t>JML BARANG KELUAR</t>
  </si>
  <si>
    <t>SISA BARANG</t>
  </si>
  <si>
    <t>KERTAS A4</t>
  </si>
  <si>
    <t>FLASHDISK 2 Gb</t>
  </si>
  <si>
    <t>Buah</t>
  </si>
  <si>
    <t>Total Kuitansi</t>
  </si>
  <si>
    <t>BENIH IKAN</t>
  </si>
  <si>
    <t>EKOR</t>
  </si>
  <si>
    <t>No</t>
  </si>
  <si>
    <t>Nasi Goreng</t>
  </si>
  <si>
    <t>Bungkus</t>
  </si>
  <si>
    <t>PAJAK</t>
  </si>
  <si>
    <t>RINCIAN KUITANSI</t>
  </si>
  <si>
    <t>Akun Belanja</t>
  </si>
  <si>
    <t>Keterangan Akun</t>
  </si>
  <si>
    <t>Nama Perusahaan</t>
  </si>
  <si>
    <t>Alamat</t>
  </si>
  <si>
    <t xml:space="preserve">No Telp </t>
  </si>
  <si>
    <t>Penjualan</t>
  </si>
  <si>
    <t>CV. Corona</t>
  </si>
  <si>
    <t>Singapura</t>
  </si>
  <si>
    <t>081111177788</t>
  </si>
  <si>
    <t>Nama Pimpinan</t>
  </si>
  <si>
    <t>Manual</t>
  </si>
  <si>
    <t>Realisasi</t>
  </si>
  <si>
    <t>Aplikasi</t>
  </si>
  <si>
    <t>SISA</t>
  </si>
  <si>
    <t>PENCARIAN</t>
  </si>
  <si>
    <t>Masukkan kata pencarian kegiatan disini….</t>
  </si>
  <si>
    <t>MAK</t>
  </si>
  <si>
    <t>Perusahaan</t>
  </si>
  <si>
    <t>Penerima</t>
  </si>
  <si>
    <t>ItemBrg</t>
  </si>
  <si>
    <t>PPh21</t>
  </si>
  <si>
    <t>PPh22</t>
  </si>
  <si>
    <t>PPh23</t>
  </si>
  <si>
    <t>PPh24</t>
  </si>
  <si>
    <t>Cetak_ke</t>
  </si>
  <si>
    <t>Jns_KWT</t>
  </si>
  <si>
    <t>No Kuitansi berikutnya</t>
  </si>
  <si>
    <t>Guling</t>
  </si>
  <si>
    <t>Kasur</t>
  </si>
  <si>
    <t>Televisi</t>
  </si>
  <si>
    <t>Masakan Mama</t>
  </si>
  <si>
    <t>Jakarta</t>
  </si>
  <si>
    <t>Masalan Papa</t>
  </si>
  <si>
    <t>Bogor</t>
  </si>
  <si>
    <t>KEMENTERIAN KELAUTAN DAN PERIKANAN</t>
  </si>
  <si>
    <t>PUSAT PENDIDIKAN KELAUTAN DAN PERIKANAN</t>
  </si>
  <si>
    <t>SURAT PERINTAH BAYAR (SPBY)</t>
  </si>
  <si>
    <t xml:space="preserve">Tanggal : </t>
  </si>
  <si>
    <t>Nomor :</t>
  </si>
  <si>
    <t>001/BRSDM.4/SPBY.01/IV/2020</t>
  </si>
  <si>
    <t>Saya yang bertanda tangan di bawah ini selaku Pejabat Pembuat Komitmen memerintahkan Bendahara Pengeluaran agar melakukan pembayaran sejumlah :</t>
  </si>
  <si>
    <t>(***SERATUS JUTA RUPIAH***)</t>
  </si>
  <si>
    <t>Kepada</t>
  </si>
  <si>
    <t>:</t>
  </si>
  <si>
    <t>Untuk Pembayaran</t>
  </si>
  <si>
    <t>CV. Korona</t>
  </si>
  <si>
    <t>Atas Dasar :</t>
  </si>
  <si>
    <t>1. Kuitansi / bukti pembelian</t>
  </si>
  <si>
    <t>2. Nota / bukti penerimaan barang/jasa</t>
  </si>
  <si>
    <t xml:space="preserve">    (Bukti Lainnya)</t>
  </si>
  <si>
    <t>Dibebankan pada :</t>
  </si>
  <si>
    <t>Kegiatan, output, MAK</t>
  </si>
  <si>
    <t>Setuju/lunas dibayar, tanggal</t>
  </si>
  <si>
    <t>Bendahara Pengeluaran / BPP,</t>
  </si>
  <si>
    <t>Sri Sulistiyawati,A.Md</t>
  </si>
  <si>
    <t>NIP. 19820612 200901 2 004</t>
  </si>
  <si>
    <t>Diterima tanggal</t>
  </si>
  <si>
    <t>Penerima Uang / Uang Muka Kerja</t>
  </si>
  <si>
    <t>Belanja Bahan. Bayar Bahan komputer ke CV Korona dalam rangka kegiatan tugas belajar, tanggal 01 April 2020</t>
  </si>
  <si>
    <t>Jakarta, 02/04/2020</t>
  </si>
  <si>
    <t>a.n. Kuasa Pengguna Anggaran</t>
  </si>
  <si>
    <t>Pejabat Pembuat Komitmen</t>
  </si>
  <si>
    <t>Dr. Bambang Suprakto, A.Pi, S.Pi, M.T.</t>
  </si>
  <si>
    <t>NIP. 19630602 198802 1 001</t>
  </si>
  <si>
    <t>KUITANSI / BUKTI PEMBAYARAN</t>
  </si>
  <si>
    <t>Sudah terima dari</t>
  </si>
  <si>
    <t>Kuasa Pengguna Anggaran / Pejabat Pembuat Komitmen</t>
  </si>
  <si>
    <t>Satker</t>
  </si>
  <si>
    <t>(440796)</t>
  </si>
  <si>
    <t>Jumlah Uang</t>
  </si>
  <si>
    <t>Rp.</t>
  </si>
  <si>
    <t>Terbilang</t>
  </si>
  <si>
    <t>100.000.000,-</t>
  </si>
  <si>
    <t>Tahun Anggaran</t>
  </si>
  <si>
    <t>Jakarta,</t>
  </si>
  <si>
    <t>Setuju dibebankan pada mata anggaran berkenaan</t>
  </si>
  <si>
    <t>Lunas dibayar tgl</t>
  </si>
  <si>
    <t>Barang/pekerjaan tersebut telah diterima/diselesaikan dengan lengkap dan baik</t>
  </si>
  <si>
    <t>Pejabat yang bertanggung jawab,</t>
  </si>
  <si>
    <t>Mata Anggaran</t>
  </si>
  <si>
    <t>Pemeriksa</t>
  </si>
  <si>
    <t>Dr. Korona virus</t>
  </si>
  <si>
    <t>Bendahara Pengeluaran / Bendahara Pengeluaran Pembantu</t>
  </si>
  <si>
    <t>Bendahara Pengeluaran /</t>
  </si>
  <si>
    <t>Bendahara Pengeluaran Pembantu,</t>
  </si>
  <si>
    <t>Pejabat Pembuat Komitmen,</t>
  </si>
  <si>
    <t>Sri Sulistiyawati, A.Md, SE</t>
  </si>
  <si>
    <t>NIP</t>
  </si>
  <si>
    <t>Nama</t>
  </si>
  <si>
    <t>Kode Satker</t>
  </si>
  <si>
    <t>Nama Satker</t>
  </si>
  <si>
    <t>Kuasa Pengguna Anggaran</t>
  </si>
  <si>
    <t>Pemeriksa Barang</t>
  </si>
  <si>
    <t>19630602 198802 1 001</t>
  </si>
  <si>
    <t>19791108 200212 1 001</t>
  </si>
  <si>
    <t>Dwi Hertanto, S.Pi, M.M.</t>
  </si>
  <si>
    <t>19820612 200901 2 004</t>
  </si>
  <si>
    <t>ket_Giat</t>
  </si>
  <si>
    <t>ket_Output</t>
  </si>
  <si>
    <t>ket_sOutput</t>
  </si>
  <si>
    <t>ket_Kmpnen</t>
  </si>
  <si>
    <t>ket_sKmpnen</t>
  </si>
  <si>
    <t>ket_Akun</t>
  </si>
  <si>
    <t>Output</t>
  </si>
  <si>
    <t>Sub Output</t>
  </si>
  <si>
    <t>Komponen</t>
  </si>
  <si>
    <t>Sub Komponen</t>
  </si>
  <si>
    <t>Akun</t>
  </si>
  <si>
    <t>Detil Kegiatan</t>
  </si>
  <si>
    <t>AKUN TERPILIH</t>
  </si>
  <si>
    <t>Pagu Kegiatan</t>
  </si>
  <si>
    <t>Sisa Anggaran</t>
  </si>
  <si>
    <t>MONITORING 
DATA PAGU DAN REALISASI</t>
  </si>
  <si>
    <t>Bayar Kepada</t>
  </si>
  <si>
    <t>Uraian Kuitansi</t>
  </si>
  <si>
    <t xml:space="preserve"> RIM </t>
  </si>
  <si>
    <t xml:space="preserve"> Bungkus </t>
  </si>
  <si>
    <t xml:space="preserve"> Buah </t>
  </si>
  <si>
    <t xml:space="preserve"> EKOR </t>
  </si>
  <si>
    <t>UP</t>
  </si>
  <si>
    <t>Edi Mistiono</t>
  </si>
  <si>
    <t>2376. Pendidikan Kelautan dan Perikanan</t>
  </si>
  <si>
    <t>Bahan Komputer</t>
  </si>
  <si>
    <t>Pendidikan Gelar Tugas Belajar dan Izin Belajar,Tugas Belajar Luar Negeri</t>
  </si>
  <si>
    <t>004. Pendidikan Aparatur KKP_x000D_[Base Line]</t>
  </si>
  <si>
    <t>001. Pendidikan Aparatur KKP</t>
  </si>
  <si>
    <t>051. Pendidikan Gelar Tugas Belajar dan Izin Belajar</t>
  </si>
  <si>
    <t>B. Tugas Belajar Luar Negeri</t>
  </si>
  <si>
    <t>521811. Belanja Barang Persediaan Barang Konsumsi</t>
  </si>
  <si>
    <t>521211. Belanja Bahan</t>
  </si>
  <si>
    <t>….......................</t>
  </si>
  <si>
    <t>…...................................</t>
  </si>
  <si>
    <t>….....................</t>
  </si>
  <si>
    <t>Pagu RKAKL</t>
  </si>
  <si>
    <t>Realisasi RKAKL</t>
  </si>
  <si>
    <t>Penggandaan</t>
  </si>
  <si>
    <t>ATK</t>
  </si>
  <si>
    <t>Konsumsi/bahan makanan</t>
  </si>
  <si>
    <t>Pendidikan Gelar Tugas Belajar dan Izin Belajar,Tugas Belajar Baru</t>
  </si>
  <si>
    <t>Bayar ke Masakan Mama. Belanja Barang Persediaan Barang Konsumsi. ATK, dalam rangka........... tanggal.......2020</t>
  </si>
  <si>
    <t>Bayar ke Masakan Mama. Belanja Barang Persediaan Barang Konsumsi. Bahan Komputer, dalam rangka........... tanggal.......2020</t>
  </si>
  <si>
    <t>Realisasi Kuitansi saat ini</t>
  </si>
  <si>
    <t>Bayar ke Masalan Papa. Belanja Bahan. Penggandaan, dalam rangka........... tanggal.......2020</t>
  </si>
  <si>
    <t>A. Tugas Belajar Baru</t>
  </si>
  <si>
    <t>000005</t>
  </si>
  <si>
    <t>Bayar ke Masakan Mama. Belanja Bahan. Penggandaan, dalam rangka........... tanggal.......2020</t>
  </si>
  <si>
    <t>000006</t>
  </si>
  <si>
    <t>Bayar ke Masakan Mama. Belanja Bahan. Konsumsi/bahan makanan, dalam rangka........... tanggal.......2020</t>
  </si>
  <si>
    <t>2376.12.05</t>
  </si>
  <si>
    <t>051</t>
  </si>
  <si>
    <t>A</t>
  </si>
  <si>
    <t>521211</t>
  </si>
  <si>
    <t>Sekretariat Badan Riset dan SDM KP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</si>
</sst>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_);_(* \(#,##0\);_(* &quot;-&quot;_);_(@_)"/>
    <numFmt numFmtId="165" formatCode="000000"/>
    <numFmt numFmtId="166" formatCode="_(* #,##0.00_);_(* \(#,##0.00\);_(* &quot;-&quot;_);_(@_)"/>
    <numFmt numFmtId="167" formatCode="[$-421]dd\ mmmm\ yyyy;@"/>
    <numFmt numFmtId="168" formatCode="#,##0.\-"/>
  </numFmts>
  <fonts count="31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0"/>
      <color theme="1"/>
      <name val="Arial"/>
      <family val="2"/>
    </font>
    <font>
      <sz val="10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sz val="8"/>
      <name val="Calibri"/>
      <family val="2"/>
      <charset val="1"/>
      <scheme val="minor"/>
    </font>
    <font>
      <b/>
      <i/>
      <sz val="9"/>
      <color theme="1"/>
      <name val="Arial"/>
      <family val="2"/>
    </font>
    <font>
      <sz val="9"/>
      <color theme="1"/>
      <name val="Calibri"/>
      <family val="2"/>
      <charset val="1"/>
      <scheme val="minor"/>
    </font>
    <font>
      <b/>
      <sz val="10"/>
      <color theme="1"/>
      <name val="Arial"/>
      <family val="2"/>
      <charset val="1"/>
    </font>
    <font>
      <b/>
      <sz val="10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i/>
      <sz val="10"/>
      <color theme="1"/>
      <name val="Arial"/>
      <family val="2"/>
    </font>
    <font>
      <b/>
      <i/>
      <sz val="18"/>
      <color theme="4"/>
      <name val="Calibri"/>
      <family val="2"/>
      <scheme val="minor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9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 style="thin">
        <color theme="4"/>
      </left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0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theme="0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/>
      <bottom style="thin">
        <color theme="0"/>
      </bottom>
      <diagonal/>
    </border>
    <border>
      <left style="thin">
        <color theme="4"/>
      </left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theme="4"/>
      </bottom>
      <diagonal/>
    </border>
    <border>
      <left style="thin">
        <color indexed="64"/>
      </left>
      <right/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 style="thick">
        <color theme="0"/>
      </bottom>
      <diagonal/>
    </border>
    <border>
      <left style="medium">
        <color theme="4"/>
      </left>
      <right/>
      <top style="thick">
        <color theme="0"/>
      </top>
      <bottom style="thick">
        <color theme="0"/>
      </bottom>
      <diagonal/>
    </border>
    <border>
      <left style="medium">
        <color theme="4"/>
      </left>
      <right/>
      <top style="thick">
        <color theme="0"/>
      </top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/>
      <bottom style="medium">
        <color theme="0"/>
      </bottom>
      <diagonal/>
    </border>
    <border>
      <left/>
      <right style="thin">
        <color rgb="FFFF0000"/>
      </right>
      <top/>
      <bottom style="medium">
        <color theme="0"/>
      </bottom>
      <diagonal/>
    </border>
    <border>
      <left style="thin">
        <color rgb="FFFF000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FF0000"/>
      </right>
      <top style="medium">
        <color theme="0"/>
      </top>
      <bottom style="medium">
        <color theme="0"/>
      </bottom>
      <diagonal/>
    </border>
    <border>
      <left style="thin">
        <color rgb="FFFF0000"/>
      </left>
      <right/>
      <top style="medium">
        <color theme="0"/>
      </top>
      <bottom/>
      <diagonal/>
    </border>
    <border>
      <left/>
      <right style="thin">
        <color rgb="FFFF0000"/>
      </right>
      <top style="medium">
        <color theme="0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5" borderId="0" applyNumberFormat="0" applyBorder="0" applyAlignment="0" applyProtection="0"/>
  </cellStyleXfs>
  <cellXfs count="319">
    <xf numFmtId="0" fontId="0" fillId="0" borderId="0" xfId="0"/>
    <xf numFmtId="0" fontId="3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164" fontId="3" fillId="0" borderId="0" xfId="1" applyFont="1" applyAlignment="1">
      <alignment vertical="top"/>
    </xf>
    <xf numFmtId="0" fontId="3" fillId="0" borderId="0" xfId="0" applyFont="1" applyAlignment="1">
      <alignment horizontal="center" vertical="top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3" fillId="0" borderId="0" xfId="0" applyFont="1" applyFill="1"/>
    <xf numFmtId="0" fontId="7" fillId="0" borderId="0" xfId="0" applyFont="1" applyFill="1"/>
    <xf numFmtId="0" fontId="9" fillId="0" borderId="0" xfId="0" applyFont="1" applyFill="1"/>
    <xf numFmtId="0" fontId="8" fillId="2" borderId="2" xfId="0" applyFont="1" applyFill="1" applyBorder="1" applyAlignment="1">
      <alignment vertical="top" wrapText="1"/>
    </xf>
    <xf numFmtId="164" fontId="8" fillId="2" borderId="2" xfId="1" applyFont="1" applyFill="1" applyBorder="1" applyAlignment="1">
      <alignment vertical="top"/>
    </xf>
    <xf numFmtId="0" fontId="8" fillId="2" borderId="2" xfId="0" applyFont="1" applyFill="1" applyBorder="1" applyAlignment="1">
      <alignment horizontal="center" vertical="top"/>
    </xf>
    <xf numFmtId="0" fontId="8" fillId="2" borderId="3" xfId="0" applyFont="1" applyFill="1" applyBorder="1" applyAlignment="1">
      <alignment vertical="top"/>
    </xf>
    <xf numFmtId="0" fontId="8" fillId="2" borderId="3" xfId="0" applyFont="1" applyFill="1" applyBorder="1" applyAlignment="1">
      <alignment vertical="top" wrapText="1"/>
    </xf>
    <xf numFmtId="164" fontId="8" fillId="2" borderId="3" xfId="1" applyFont="1" applyFill="1" applyBorder="1" applyAlignment="1">
      <alignment vertical="top"/>
    </xf>
    <xf numFmtId="0" fontId="8" fillId="2" borderId="3" xfId="0" applyFont="1" applyFill="1" applyBorder="1" applyAlignment="1">
      <alignment horizontal="center" vertical="top"/>
    </xf>
    <xf numFmtId="0" fontId="8" fillId="0" borderId="3" xfId="0" applyFont="1" applyBorder="1" applyAlignment="1">
      <alignment vertical="top"/>
    </xf>
    <xf numFmtId="0" fontId="8" fillId="0" borderId="3" xfId="0" applyFont="1" applyBorder="1" applyAlignment="1">
      <alignment vertical="top" wrapText="1"/>
    </xf>
    <xf numFmtId="164" fontId="8" fillId="0" borderId="3" xfId="1" applyFont="1" applyBorder="1" applyAlignment="1">
      <alignment vertical="top"/>
    </xf>
    <xf numFmtId="0" fontId="8" fillId="0" borderId="3" xfId="0" applyFont="1" applyBorder="1" applyAlignment="1">
      <alignment horizontal="center" vertical="top"/>
    </xf>
    <xf numFmtId="0" fontId="8" fillId="3" borderId="3" xfId="0" applyFont="1" applyFill="1" applyBorder="1" applyAlignment="1">
      <alignment vertical="top"/>
    </xf>
    <xf numFmtId="0" fontId="8" fillId="3" borderId="3" xfId="0" applyFont="1" applyFill="1" applyBorder="1" applyAlignment="1">
      <alignment vertical="top" wrapText="1"/>
    </xf>
    <xf numFmtId="164" fontId="8" fillId="3" borderId="3" xfId="1" applyFont="1" applyFill="1" applyBorder="1" applyAlignment="1">
      <alignment vertical="top"/>
    </xf>
    <xf numFmtId="0" fontId="8" fillId="3" borderId="3" xfId="0" applyFont="1" applyFill="1" applyBorder="1" applyAlignment="1">
      <alignment horizontal="center" vertical="top"/>
    </xf>
    <xf numFmtId="0" fontId="8" fillId="4" borderId="3" xfId="0" applyFont="1" applyFill="1" applyBorder="1" applyAlignment="1">
      <alignment vertical="top"/>
    </xf>
    <xf numFmtId="0" fontId="8" fillId="4" borderId="3" xfId="0" applyFont="1" applyFill="1" applyBorder="1" applyAlignment="1">
      <alignment vertical="top" wrapText="1"/>
    </xf>
    <xf numFmtId="164" fontId="8" fillId="4" borderId="3" xfId="1" applyFont="1" applyFill="1" applyBorder="1" applyAlignment="1">
      <alignment vertical="top"/>
    </xf>
    <xf numFmtId="0" fontId="8" fillId="4" borderId="3" xfId="0" applyFont="1" applyFill="1" applyBorder="1" applyAlignment="1">
      <alignment horizontal="center" vertical="top"/>
    </xf>
    <xf numFmtId="0" fontId="4" fillId="0" borderId="3" xfId="0" applyFont="1" applyBorder="1" applyAlignment="1">
      <alignment vertical="top"/>
    </xf>
    <xf numFmtId="0" fontId="4" fillId="0" borderId="3" xfId="0" applyFont="1" applyBorder="1" applyAlignment="1">
      <alignment vertical="top" wrapText="1"/>
    </xf>
    <xf numFmtId="164" fontId="4" fillId="0" borderId="3" xfId="1" applyFont="1" applyBorder="1" applyAlignment="1">
      <alignment vertical="top"/>
    </xf>
    <xf numFmtId="0" fontId="4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4" xfId="0" applyFont="1" applyBorder="1" applyAlignment="1">
      <alignment vertical="top" wrapText="1"/>
    </xf>
    <xf numFmtId="164" fontId="4" fillId="0" borderId="4" xfId="1" applyFont="1" applyBorder="1" applyAlignment="1">
      <alignment vertical="top"/>
    </xf>
    <xf numFmtId="0" fontId="4" fillId="0" borderId="4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49" fontId="9" fillId="0" borderId="0" xfId="0" applyNumberFormat="1" applyFont="1" applyFill="1"/>
    <xf numFmtId="49" fontId="3" fillId="0" borderId="0" xfId="0" applyNumberFormat="1" applyFont="1" applyFill="1"/>
    <xf numFmtId="0" fontId="0" fillId="0" borderId="0" xfId="0" applyAlignment="1">
      <alignment horizontal="center"/>
    </xf>
    <xf numFmtId="164" fontId="0" fillId="0" borderId="0" xfId="1" applyFont="1"/>
    <xf numFmtId="0" fontId="0" fillId="0" borderId="0" xfId="0" quotePrefix="1"/>
    <xf numFmtId="1" fontId="0" fillId="0" borderId="0" xfId="0" applyNumberFormat="1" applyAlignment="1">
      <alignment horizontal="center"/>
    </xf>
    <xf numFmtId="0" fontId="6" fillId="2" borderId="9" xfId="0" applyFont="1" applyFill="1" applyBorder="1" applyAlignment="1">
      <alignment horizontal="center" vertical="center" wrapText="1"/>
    </xf>
    <xf numFmtId="164" fontId="8" fillId="2" borderId="1" xfId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top"/>
    </xf>
    <xf numFmtId="0" fontId="17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164" fontId="0" fillId="0" borderId="0" xfId="1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10" fillId="6" borderId="10" xfId="0" applyFont="1" applyFill="1" applyBorder="1" applyAlignment="1" applyProtection="1">
      <alignment horizontal="left" vertical="center"/>
      <protection locked="0"/>
    </xf>
    <xf numFmtId="164" fontId="11" fillId="7" borderId="5" xfId="1" applyFon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left"/>
      <protection locked="0"/>
    </xf>
    <xf numFmtId="14" fontId="0" fillId="0" borderId="29" xfId="0" applyNumberFormat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1" fillId="2" borderId="7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7" xfId="0" applyFill="1" applyBorder="1" applyAlignment="1" applyProtection="1">
      <alignment horizontal="left" vertical="top"/>
      <protection locked="0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0" borderId="0" xfId="3" applyFill="1" applyProtection="1">
      <protection locked="0"/>
    </xf>
    <xf numFmtId="0" fontId="10" fillId="0" borderId="0" xfId="0" applyFont="1" applyFill="1" applyBorder="1" applyAlignment="1" applyProtection="1">
      <alignment vertical="top"/>
      <protection locked="0"/>
    </xf>
    <xf numFmtId="0" fontId="0" fillId="0" borderId="18" xfId="0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9" fontId="0" fillId="0" borderId="0" xfId="2" applyFont="1" applyFill="1" applyBorder="1" applyProtection="1">
      <protection locked="0"/>
    </xf>
    <xf numFmtId="164" fontId="0" fillId="0" borderId="0" xfId="1" applyFont="1" applyFill="1" applyBorder="1" applyAlignment="1" applyProtection="1">
      <protection locked="0"/>
    </xf>
    <xf numFmtId="0" fontId="10" fillId="6" borderId="18" xfId="0" applyFont="1" applyFill="1" applyBorder="1" applyAlignment="1" applyProtection="1">
      <alignment vertical="top"/>
      <protection locked="0"/>
    </xf>
    <xf numFmtId="0" fontId="10" fillId="6" borderId="0" xfId="0" applyFont="1" applyFill="1" applyBorder="1" applyAlignment="1" applyProtection="1">
      <alignment vertical="top"/>
      <protection locked="0"/>
    </xf>
    <xf numFmtId="0" fontId="10" fillId="9" borderId="14" xfId="0" applyFont="1" applyFill="1" applyBorder="1" applyAlignment="1" applyProtection="1">
      <alignment horizontal="left" vertical="top"/>
      <protection locked="0"/>
    </xf>
    <xf numFmtId="1" fontId="0" fillId="0" borderId="14" xfId="0" applyNumberFormat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10" fillId="9" borderId="15" xfId="0" applyFont="1" applyFill="1" applyBorder="1" applyAlignment="1" applyProtection="1">
      <alignment horizontal="left" vertical="top"/>
      <protection locked="0"/>
    </xf>
    <xf numFmtId="0" fontId="16" fillId="0" borderId="0" xfId="0" applyFont="1" applyAlignment="1" applyProtection="1">
      <alignment horizontal="center" vertical="center"/>
    </xf>
    <xf numFmtId="49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1" applyNumberFormat="1" applyFont="1"/>
    <xf numFmtId="0" fontId="0" fillId="0" borderId="0" xfId="0" applyBorder="1"/>
    <xf numFmtId="0" fontId="19" fillId="0" borderId="0" xfId="0" applyFont="1" applyBorder="1"/>
    <xf numFmtId="0" fontId="19" fillId="0" borderId="0" xfId="0" applyFont="1"/>
    <xf numFmtId="0" fontId="19" fillId="0" borderId="33" xfId="0" applyFont="1" applyBorder="1"/>
    <xf numFmtId="0" fontId="19" fillId="0" borderId="34" xfId="0" applyFont="1" applyBorder="1"/>
    <xf numFmtId="0" fontId="21" fillId="0" borderId="0" xfId="0" applyFont="1" applyBorder="1" applyAlignment="1">
      <alignment horizontal="right"/>
    </xf>
    <xf numFmtId="0" fontId="21" fillId="0" borderId="0" xfId="0" applyFont="1" applyBorder="1"/>
    <xf numFmtId="0" fontId="19" fillId="0" borderId="30" xfId="0" applyFont="1" applyBorder="1" applyAlignment="1"/>
    <xf numFmtId="0" fontId="19" fillId="0" borderId="31" xfId="0" applyFont="1" applyBorder="1" applyAlignment="1"/>
    <xf numFmtId="0" fontId="19" fillId="0" borderId="39" xfId="0" applyFont="1" applyBorder="1"/>
    <xf numFmtId="0" fontId="19" fillId="0" borderId="41" xfId="0" applyFont="1" applyBorder="1"/>
    <xf numFmtId="0" fontId="19" fillId="0" borderId="35" xfId="0" applyFont="1" applyBorder="1"/>
    <xf numFmtId="0" fontId="19" fillId="0" borderId="36" xfId="0" applyFont="1" applyBorder="1"/>
    <xf numFmtId="0" fontId="19" fillId="0" borderId="37" xfId="0" applyFont="1" applyBorder="1"/>
    <xf numFmtId="0" fontId="4" fillId="0" borderId="33" xfId="0" applyFont="1" applyBorder="1"/>
    <xf numFmtId="0" fontId="4" fillId="0" borderId="0" xfId="0" applyFont="1" applyBorder="1"/>
    <xf numFmtId="0" fontId="4" fillId="0" borderId="0" xfId="0" applyFont="1" applyBorder="1" applyAlignment="1">
      <alignment vertical="top"/>
    </xf>
    <xf numFmtId="0" fontId="4" fillId="0" borderId="33" xfId="0" applyFont="1" applyBorder="1" applyAlignment="1">
      <alignment vertical="top"/>
    </xf>
    <xf numFmtId="0" fontId="4" fillId="0" borderId="34" xfId="0" applyFont="1" applyBorder="1"/>
    <xf numFmtId="0" fontId="4" fillId="0" borderId="35" xfId="0" applyFont="1" applyBorder="1"/>
    <xf numFmtId="0" fontId="4" fillId="0" borderId="36" xfId="0" applyFont="1" applyBorder="1"/>
    <xf numFmtId="0" fontId="2" fillId="0" borderId="33" xfId="0" applyFont="1" applyBorder="1"/>
    <xf numFmtId="0" fontId="19" fillId="0" borderId="30" xfId="0" applyFont="1" applyBorder="1"/>
    <xf numFmtId="0" fontId="19" fillId="0" borderId="31" xfId="0" applyFont="1" applyBorder="1"/>
    <xf numFmtId="0" fontId="19" fillId="0" borderId="32" xfId="0" applyFont="1" applyBorder="1"/>
    <xf numFmtId="0" fontId="4" fillId="0" borderId="0" xfId="0" applyFont="1" applyBorder="1" applyAlignment="1">
      <alignment vertical="top" wrapText="1"/>
    </xf>
    <xf numFmtId="0" fontId="4" fillId="0" borderId="34" xfId="0" applyFont="1" applyBorder="1" applyAlignment="1">
      <alignment vertical="top" wrapText="1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14" fontId="4" fillId="0" borderId="0" xfId="0" applyNumberFormat="1" applyFont="1" applyBorder="1" applyAlignment="1">
      <alignment horizontal="left"/>
    </xf>
    <xf numFmtId="14" fontId="4" fillId="0" borderId="34" xfId="0" applyNumberFormat="1" applyFont="1" applyBorder="1" applyAlignment="1">
      <alignment horizontal="left"/>
    </xf>
    <xf numFmtId="0" fontId="4" fillId="0" borderId="0" xfId="0" applyFont="1"/>
    <xf numFmtId="167" fontId="21" fillId="0" borderId="0" xfId="0" applyNumberFormat="1" applyFont="1" applyBorder="1" applyAlignment="1"/>
    <xf numFmtId="0" fontId="22" fillId="0" borderId="42" xfId="0" applyFont="1" applyBorder="1" applyAlignment="1">
      <alignment vertical="top"/>
    </xf>
    <xf numFmtId="0" fontId="22" fillId="0" borderId="38" xfId="0" applyFont="1" applyBorder="1" applyAlignment="1">
      <alignment vertical="top"/>
    </xf>
    <xf numFmtId="164" fontId="2" fillId="0" borderId="42" xfId="1" applyFont="1" applyBorder="1" applyAlignment="1">
      <alignment horizontal="left" vertical="top"/>
    </xf>
    <xf numFmtId="164" fontId="2" fillId="0" borderId="38" xfId="1" applyFont="1" applyBorder="1" applyAlignment="1">
      <alignment horizontal="left" vertical="top"/>
    </xf>
    <xf numFmtId="0" fontId="19" fillId="0" borderId="38" xfId="0" applyFont="1" applyBorder="1"/>
    <xf numFmtId="0" fontId="19" fillId="0" borderId="43" xfId="0" applyFont="1" applyBorder="1"/>
    <xf numFmtId="14" fontId="4" fillId="0" borderId="0" xfId="0" applyNumberFormat="1" applyFont="1" applyBorder="1" applyAlignment="1"/>
    <xf numFmtId="0" fontId="22" fillId="0" borderId="33" xfId="0" applyFont="1" applyBorder="1" applyAlignment="1">
      <alignment vertical="top"/>
    </xf>
    <xf numFmtId="0" fontId="22" fillId="0" borderId="0" xfId="0" applyFont="1" applyBorder="1" applyAlignment="1">
      <alignment vertical="top"/>
    </xf>
    <xf numFmtId="0" fontId="22" fillId="0" borderId="43" xfId="0" applyFont="1" applyBorder="1" applyAlignment="1">
      <alignment vertical="top"/>
    </xf>
    <xf numFmtId="0" fontId="19" fillId="0" borderId="40" xfId="0" applyFont="1" applyBorder="1"/>
    <xf numFmtId="0" fontId="19" fillId="0" borderId="33" xfId="0" applyFont="1" applyBorder="1" applyAlignment="1"/>
    <xf numFmtId="0" fontId="19" fillId="0" borderId="0" xfId="0" applyFont="1" applyBorder="1" applyAlignment="1"/>
    <xf numFmtId="0" fontId="19" fillId="0" borderId="34" xfId="0" applyFont="1" applyBorder="1" applyAlignment="1"/>
    <xf numFmtId="0" fontId="24" fillId="0" borderId="33" xfId="0" applyFont="1" applyBorder="1" applyAlignment="1"/>
    <xf numFmtId="0" fontId="24" fillId="0" borderId="0" xfId="0" applyFont="1" applyBorder="1" applyAlignment="1"/>
    <xf numFmtId="0" fontId="24" fillId="0" borderId="34" xfId="0" applyFont="1" applyBorder="1" applyAlignment="1"/>
    <xf numFmtId="49" fontId="4" fillId="0" borderId="0" xfId="0" applyNumberFormat="1" applyFont="1" applyBorder="1" applyAlignment="1">
      <alignment horizontal="left" vertical="top"/>
    </xf>
    <xf numFmtId="0" fontId="4" fillId="0" borderId="33" xfId="0" applyFont="1" applyBorder="1" applyAlignment="1"/>
    <xf numFmtId="0" fontId="4" fillId="0" borderId="0" xfId="0" applyFont="1" applyBorder="1" applyAlignment="1"/>
    <xf numFmtId="0" fontId="4" fillId="0" borderId="34" xfId="0" applyFont="1" applyBorder="1" applyAlignment="1"/>
    <xf numFmtId="0" fontId="4" fillId="0" borderId="40" xfId="0" applyFont="1" applyBorder="1" applyAlignment="1"/>
    <xf numFmtId="0" fontId="4" fillId="0" borderId="39" xfId="0" applyFont="1" applyBorder="1" applyAlignment="1"/>
    <xf numFmtId="0" fontId="4" fillId="0" borderId="41" xfId="0" applyFont="1" applyBorder="1" applyAlignment="1"/>
    <xf numFmtId="0" fontId="2" fillId="0" borderId="0" xfId="0" applyFont="1" applyBorder="1"/>
    <xf numFmtId="0" fontId="4" fillId="0" borderId="39" xfId="0" applyFont="1" applyBorder="1"/>
    <xf numFmtId="49" fontId="4" fillId="0" borderId="0" xfId="0" applyNumberFormat="1" applyFont="1" applyBorder="1" applyAlignment="1"/>
    <xf numFmtId="0" fontId="2" fillId="0" borderId="0" xfId="0" applyFont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49" fontId="2" fillId="0" borderId="33" xfId="0" applyNumberFormat="1" applyFont="1" applyBorder="1"/>
    <xf numFmtId="49" fontId="2" fillId="0" borderId="0" xfId="0" applyNumberFormat="1" applyFont="1" applyBorder="1"/>
    <xf numFmtId="0" fontId="0" fillId="0" borderId="44" xfId="0" applyBorder="1"/>
    <xf numFmtId="0" fontId="0" fillId="0" borderId="18" xfId="0" applyBorder="1"/>
    <xf numFmtId="0" fontId="0" fillId="0" borderId="20" xfId="0" applyBorder="1"/>
    <xf numFmtId="0" fontId="0" fillId="0" borderId="29" xfId="0" applyBorder="1"/>
    <xf numFmtId="0" fontId="0" fillId="0" borderId="11" xfId="0" applyBorder="1"/>
    <xf numFmtId="0" fontId="0" fillId="0" borderId="29" xfId="0" applyFill="1" applyBorder="1"/>
    <xf numFmtId="0" fontId="0" fillId="0" borderId="11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10" fillId="0" borderId="39" xfId="0" applyFont="1" applyFill="1" applyBorder="1" applyAlignment="1" applyProtection="1">
      <alignment horizontal="left" vertical="center"/>
      <protection locked="0"/>
    </xf>
    <xf numFmtId="0" fontId="10" fillId="6" borderId="44" xfId="0" applyFont="1" applyFill="1" applyBorder="1" applyAlignment="1" applyProtection="1">
      <alignment horizontal="left" vertical="center"/>
      <protection locked="0"/>
    </xf>
    <xf numFmtId="0" fontId="0" fillId="0" borderId="39" xfId="0" applyFill="1" applyBorder="1"/>
    <xf numFmtId="0" fontId="0" fillId="0" borderId="5" xfId="0" applyFill="1" applyBorder="1"/>
    <xf numFmtId="0" fontId="0" fillId="0" borderId="38" xfId="0" applyFill="1" applyBorder="1"/>
    <xf numFmtId="0" fontId="10" fillId="6" borderId="52" xfId="0" applyFont="1" applyFill="1" applyBorder="1" applyAlignment="1" applyProtection="1">
      <alignment horizontal="left" vertical="center"/>
      <protection locked="0"/>
    </xf>
    <xf numFmtId="0" fontId="10" fillId="6" borderId="53" xfId="0" applyFont="1" applyFill="1" applyBorder="1" applyAlignment="1" applyProtection="1">
      <alignment horizontal="left" vertical="center"/>
      <protection locked="0"/>
    </xf>
    <xf numFmtId="0" fontId="10" fillId="6" borderId="54" xfId="0" applyFont="1" applyFill="1" applyBorder="1" applyAlignment="1" applyProtection="1">
      <alignment horizontal="left" vertical="center"/>
      <protection locked="0"/>
    </xf>
    <xf numFmtId="0" fontId="10" fillId="6" borderId="55" xfId="0" applyFont="1" applyFill="1" applyBorder="1" applyAlignment="1" applyProtection="1">
      <alignment horizontal="left" vertical="center"/>
      <protection locked="0"/>
    </xf>
    <xf numFmtId="0" fontId="10" fillId="6" borderId="56" xfId="0" applyFont="1" applyFill="1" applyBorder="1" applyAlignment="1" applyProtection="1">
      <alignment horizontal="left" vertical="center"/>
      <protection locked="0"/>
    </xf>
    <xf numFmtId="0" fontId="4" fillId="0" borderId="0" xfId="0" applyNumberFormat="1" applyFont="1" applyBorder="1" applyAlignment="1">
      <alignment horizontal="left" vertical="top"/>
    </xf>
    <xf numFmtId="0" fontId="17" fillId="8" borderId="2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8" borderId="59" xfId="0" applyFont="1" applyFill="1" applyBorder="1" applyAlignment="1">
      <alignment vertical="center"/>
    </xf>
    <xf numFmtId="0" fontId="17" fillId="8" borderId="60" xfId="0" applyFont="1" applyFill="1" applyBorder="1" applyAlignment="1">
      <alignment horizontal="left" vertical="center" wrapText="1"/>
    </xf>
    <xf numFmtId="0" fontId="17" fillId="8" borderId="60" xfId="0" applyFont="1" applyFill="1" applyBorder="1" applyAlignment="1">
      <alignment vertical="center"/>
    </xf>
    <xf numFmtId="0" fontId="17" fillId="8" borderId="61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 wrapText="1"/>
    </xf>
    <xf numFmtId="49" fontId="7" fillId="0" borderId="0" xfId="0" applyNumberFormat="1" applyFont="1" applyFill="1"/>
    <xf numFmtId="0" fontId="0" fillId="0" borderId="0" xfId="0" applyFont="1" applyFill="1"/>
    <xf numFmtId="49" fontId="0" fillId="0" borderId="5" xfId="0" applyNumberFormat="1" applyFont="1" applyFill="1" applyBorder="1" applyAlignment="1">
      <alignment horizontal="center" vertical="center"/>
    </xf>
    <xf numFmtId="49" fontId="0" fillId="0" borderId="5" xfId="1" applyNumberFormat="1" applyFont="1" applyBorder="1" applyAlignment="1">
      <alignment horizontal="center" vertical="top"/>
    </xf>
    <xf numFmtId="0" fontId="26" fillId="0" borderId="0" xfId="0" applyFont="1" applyFill="1"/>
    <xf numFmtId="0" fontId="18" fillId="0" borderId="0" xfId="0" applyFont="1" applyAlignment="1">
      <alignment vertical="top"/>
    </xf>
    <xf numFmtId="49" fontId="0" fillId="0" borderId="0" xfId="1" applyNumberFormat="1" applyFont="1" applyBorder="1" applyAlignment="1">
      <alignment horizontal="center" vertical="top"/>
    </xf>
    <xf numFmtId="0" fontId="16" fillId="0" borderId="0" xfId="0" applyFont="1" applyFill="1" applyBorder="1" applyAlignment="1">
      <alignment horizontal="left" vertical="center"/>
    </xf>
    <xf numFmtId="0" fontId="3" fillId="0" borderId="27" xfId="0" applyFont="1" applyFill="1" applyBorder="1" applyAlignment="1">
      <alignment vertical="center"/>
    </xf>
    <xf numFmtId="0" fontId="17" fillId="0" borderId="27" xfId="0" applyFont="1" applyFill="1" applyBorder="1" applyAlignment="1">
      <alignment vertical="center"/>
    </xf>
    <xf numFmtId="0" fontId="17" fillId="0" borderId="62" xfId="0" applyFont="1" applyFill="1" applyBorder="1" applyAlignment="1">
      <alignment vertical="center"/>
    </xf>
    <xf numFmtId="0" fontId="13" fillId="0" borderId="13" xfId="0" applyFont="1" applyFill="1" applyBorder="1" applyAlignment="1" applyProtection="1">
      <protection locked="0"/>
    </xf>
    <xf numFmtId="0" fontId="1" fillId="0" borderId="0" xfId="3" applyFill="1" applyBorder="1" applyProtection="1">
      <protection locked="0"/>
    </xf>
    <xf numFmtId="0" fontId="10" fillId="6" borderId="44" xfId="0" applyFont="1" applyFill="1" applyBorder="1" applyAlignment="1" applyProtection="1">
      <alignment horizontal="center" vertical="center"/>
      <protection locked="0"/>
    </xf>
    <xf numFmtId="0" fontId="10" fillId="11" borderId="15" xfId="0" applyFont="1" applyFill="1" applyBorder="1" applyAlignment="1" applyProtection="1">
      <alignment horizontal="left" vertical="top"/>
      <protection locked="0"/>
    </xf>
    <xf numFmtId="1" fontId="0" fillId="0" borderId="5" xfId="0" applyNumberFormat="1" applyBorder="1" applyAlignment="1" applyProtection="1">
      <alignment horizontal="left" vertical="center"/>
      <protection locked="0"/>
    </xf>
    <xf numFmtId="0" fontId="0" fillId="0" borderId="18" xfId="0" applyBorder="1" applyAlignment="1" applyProtection="1">
      <alignment vertical="top" wrapText="1"/>
      <protection locked="0"/>
    </xf>
    <xf numFmtId="165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9" fontId="0" fillId="0" borderId="0" xfId="0" applyNumberFormat="1" applyAlignment="1">
      <alignment horizontal="center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4" fontId="0" fillId="0" borderId="0" xfId="1" applyFont="1" applyAlignment="1">
      <alignment vertical="top"/>
    </xf>
    <xf numFmtId="49" fontId="0" fillId="0" borderId="0" xfId="1" applyNumberFormat="1" applyFont="1" applyAlignment="1">
      <alignment vertical="top"/>
    </xf>
    <xf numFmtId="1" fontId="0" fillId="0" borderId="0" xfId="1" applyNumberFormat="1" applyFont="1" applyAlignment="1">
      <alignment horizontal="center" vertical="top"/>
    </xf>
    <xf numFmtId="164" fontId="12" fillId="0" borderId="65" xfId="1" applyFont="1" applyBorder="1" applyProtection="1"/>
    <xf numFmtId="9" fontId="0" fillId="0" borderId="5" xfId="2" applyFont="1" applyBorder="1" applyAlignment="1" applyProtection="1">
      <alignment horizontal="center"/>
      <protection locked="0"/>
    </xf>
    <xf numFmtId="164" fontId="12" fillId="0" borderId="65" xfId="1" applyFont="1" applyBorder="1" applyProtection="1">
      <protection locked="0"/>
    </xf>
    <xf numFmtId="164" fontId="0" fillId="7" borderId="5" xfId="1" applyFont="1" applyFill="1" applyBorder="1" applyAlignment="1" applyProtection="1"/>
    <xf numFmtId="164" fontId="11" fillId="7" borderId="14" xfId="1" applyFont="1" applyFill="1" applyBorder="1" applyAlignment="1" applyProtection="1">
      <alignment vertical="top"/>
    </xf>
    <xf numFmtId="164" fontId="11" fillId="7" borderId="14" xfId="1" applyFont="1" applyFill="1" applyBorder="1" applyAlignment="1" applyProtection="1">
      <alignment horizontal="center" vertical="top"/>
    </xf>
    <xf numFmtId="164" fontId="30" fillId="0" borderId="65" xfId="1" applyFont="1" applyBorder="1" applyProtection="1"/>
    <xf numFmtId="0" fontId="11" fillId="0" borderId="0" xfId="0" applyFont="1" applyAlignment="1" applyProtection="1">
      <alignment horizontal="left"/>
    </xf>
    <xf numFmtId="164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center"/>
    </xf>
    <xf numFmtId="0" fontId="8" fillId="2" borderId="2" xfId="0" quotePrefix="1" applyFont="1" applyFill="1" applyBorder="1" applyAlignment="1">
      <alignment vertical="top"/>
    </xf>
    <xf numFmtId="0" fontId="0" fillId="0" borderId="48" xfId="0" applyFill="1" applyBorder="1" applyAlignment="1">
      <alignment horizontal="left"/>
    </xf>
    <xf numFmtId="0" fontId="0" fillId="0" borderId="49" xfId="0" applyFill="1" applyBorder="1" applyAlignment="1">
      <alignment horizontal="left"/>
    </xf>
    <xf numFmtId="0" fontId="0" fillId="0" borderId="50" xfId="0" applyFill="1" applyBorder="1" applyAlignment="1">
      <alignment horizontal="left"/>
    </xf>
    <xf numFmtId="0" fontId="25" fillId="0" borderId="51" xfId="0" applyFont="1" applyFill="1" applyBorder="1" applyAlignment="1" applyProtection="1">
      <alignment horizontal="center" vertical="top"/>
      <protection locked="0"/>
    </xf>
    <xf numFmtId="0" fontId="25" fillId="0" borderId="6" xfId="0" applyFont="1" applyFill="1" applyBorder="1" applyAlignment="1" applyProtection="1">
      <alignment horizontal="center" vertical="top"/>
      <protection locked="0"/>
    </xf>
    <xf numFmtId="0" fontId="25" fillId="0" borderId="7" xfId="0" applyFont="1" applyFill="1" applyBorder="1" applyAlignment="1" applyProtection="1">
      <alignment horizontal="center" vertical="top"/>
      <protection locked="0"/>
    </xf>
    <xf numFmtId="49" fontId="0" fillId="0" borderId="51" xfId="0" applyNumberFormat="1" applyFill="1" applyBorder="1" applyAlignment="1">
      <alignment horizontal="left"/>
    </xf>
    <xf numFmtId="49" fontId="0" fillId="0" borderId="6" xfId="0" applyNumberFormat="1" applyFill="1" applyBorder="1" applyAlignment="1">
      <alignment horizontal="left"/>
    </xf>
    <xf numFmtId="49" fontId="0" fillId="0" borderId="7" xfId="0" applyNumberFormat="1" applyFill="1" applyBorder="1" applyAlignment="1">
      <alignment horizontal="left"/>
    </xf>
    <xf numFmtId="0" fontId="11" fillId="0" borderId="51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49" fontId="0" fillId="0" borderId="57" xfId="0" applyNumberFormat="1" applyFill="1" applyBorder="1" applyAlignment="1">
      <alignment horizontal="left"/>
    </xf>
    <xf numFmtId="49" fontId="0" fillId="0" borderId="46" xfId="0" applyNumberFormat="1" applyFill="1" applyBorder="1" applyAlignment="1">
      <alignment horizontal="left"/>
    </xf>
    <xf numFmtId="49" fontId="0" fillId="0" borderId="47" xfId="0" applyNumberFormat="1" applyFill="1" applyBorder="1" applyAlignment="1">
      <alignment horizontal="left"/>
    </xf>
    <xf numFmtId="0" fontId="11" fillId="0" borderId="44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11" fillId="0" borderId="45" xfId="0" applyFont="1" applyFill="1" applyBorder="1" applyAlignment="1">
      <alignment horizontal="center" wrapText="1"/>
    </xf>
    <xf numFmtId="0" fontId="11" fillId="0" borderId="46" xfId="0" applyFont="1" applyFill="1" applyBorder="1" applyAlignment="1">
      <alignment horizontal="center" wrapText="1"/>
    </xf>
    <xf numFmtId="0" fontId="11" fillId="0" borderId="47" xfId="0" applyFont="1" applyFill="1" applyBorder="1" applyAlignment="1">
      <alignment horizontal="center" wrapText="1"/>
    </xf>
    <xf numFmtId="49" fontId="0" fillId="0" borderId="58" xfId="0" applyNumberFormat="1" applyFill="1" applyBorder="1" applyAlignment="1">
      <alignment horizontal="left"/>
    </xf>
    <xf numFmtId="49" fontId="0" fillId="0" borderId="45" xfId="0" applyNumberFormat="1" applyFill="1" applyBorder="1" applyAlignment="1">
      <alignment horizontal="left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17" xfId="0" applyBorder="1" applyAlignment="1" applyProtection="1">
      <alignment horizontal="left" vertical="top"/>
      <protection locked="0"/>
    </xf>
    <xf numFmtId="0" fontId="17" fillId="8" borderId="0" xfId="0" applyFont="1" applyFill="1" applyAlignment="1" applyProtection="1">
      <alignment horizontal="center"/>
      <protection locked="0"/>
    </xf>
    <xf numFmtId="0" fontId="13" fillId="10" borderId="66" xfId="0" applyFont="1" applyFill="1" applyBorder="1" applyAlignment="1" applyProtection="1">
      <alignment horizontal="center"/>
    </xf>
    <xf numFmtId="0" fontId="13" fillId="10" borderId="67" xfId="0" applyFont="1" applyFill="1" applyBorder="1" applyAlignment="1" applyProtection="1">
      <alignment horizontal="center"/>
    </xf>
    <xf numFmtId="0" fontId="13" fillId="10" borderId="68" xfId="0" applyFont="1" applyFill="1" applyBorder="1" applyAlignment="1" applyProtection="1">
      <alignment horizontal="center"/>
    </xf>
    <xf numFmtId="0" fontId="13" fillId="10" borderId="69" xfId="0" applyFont="1" applyFill="1" applyBorder="1" applyAlignment="1" applyProtection="1">
      <alignment horizontal="center"/>
    </xf>
    <xf numFmtId="0" fontId="13" fillId="10" borderId="70" xfId="0" applyFont="1" applyFill="1" applyBorder="1" applyAlignment="1" applyProtection="1">
      <alignment horizontal="center"/>
    </xf>
    <xf numFmtId="0" fontId="13" fillId="10" borderId="71" xfId="0" applyFont="1" applyFill="1" applyBorder="1" applyAlignment="1" applyProtection="1">
      <alignment horizontal="center"/>
    </xf>
    <xf numFmtId="164" fontId="14" fillId="0" borderId="10" xfId="1" applyFont="1" applyBorder="1" applyAlignment="1" applyProtection="1">
      <alignment horizontal="center" vertical="center"/>
    </xf>
    <xf numFmtId="164" fontId="14" fillId="0" borderId="19" xfId="1" applyFont="1" applyBorder="1" applyAlignment="1" applyProtection="1">
      <alignment horizontal="center" vertical="center"/>
    </xf>
    <xf numFmtId="164" fontId="14" fillId="0" borderId="8" xfId="1" applyFont="1" applyBorder="1" applyAlignment="1" applyProtection="1">
      <alignment horizontal="center" vertical="center"/>
    </xf>
    <xf numFmtId="0" fontId="15" fillId="6" borderId="20" xfId="0" applyFont="1" applyFill="1" applyBorder="1" applyAlignment="1" applyProtection="1">
      <alignment horizontal="center" vertical="center" wrapText="1"/>
      <protection locked="0"/>
    </xf>
    <xf numFmtId="0" fontId="15" fillId="6" borderId="11" xfId="0" applyFont="1" applyFill="1" applyBorder="1" applyAlignment="1" applyProtection="1">
      <alignment horizontal="center" vertical="center" wrapText="1"/>
      <protection locked="0"/>
    </xf>
    <xf numFmtId="0" fontId="0" fillId="2" borderId="10" xfId="0" applyFill="1" applyBorder="1" applyAlignment="1" applyProtection="1">
      <alignment horizontal="left" vertical="top" wrapText="1"/>
      <protection locked="0"/>
    </xf>
    <xf numFmtId="0" fontId="0" fillId="2" borderId="19" xfId="0" applyFill="1" applyBorder="1" applyAlignment="1" applyProtection="1">
      <alignment horizontal="left" vertical="top" wrapText="1"/>
      <protection locked="0"/>
    </xf>
    <xf numFmtId="0" fontId="0" fillId="2" borderId="8" xfId="0" applyFill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13" fillId="9" borderId="12" xfId="0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23" fillId="0" borderId="33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167" fontId="21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27" fillId="0" borderId="0" xfId="0" applyFont="1" applyBorder="1" applyAlignment="1">
      <alignment horizontal="left" vertical="top" wrapText="1"/>
    </xf>
    <xf numFmtId="0" fontId="27" fillId="0" borderId="34" xfId="0" applyFont="1" applyBorder="1" applyAlignment="1">
      <alignment horizontal="left" vertical="top" wrapText="1"/>
    </xf>
    <xf numFmtId="14" fontId="4" fillId="0" borderId="0" xfId="0" applyNumberFormat="1" applyFont="1" applyBorder="1" applyAlignment="1">
      <alignment horizontal="left"/>
    </xf>
    <xf numFmtId="14" fontId="4" fillId="0" borderId="34" xfId="0" applyNumberFormat="1" applyFont="1" applyBorder="1" applyAlignment="1">
      <alignment horizontal="left"/>
    </xf>
    <xf numFmtId="168" fontId="4" fillId="0" borderId="0" xfId="0" applyNumberFormat="1" applyFont="1" applyBorder="1" applyAlignment="1">
      <alignment horizontal="left"/>
    </xf>
    <xf numFmtId="0" fontId="19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vertical="top"/>
    </xf>
    <xf numFmtId="0" fontId="4" fillId="0" borderId="34" xfId="0" applyFont="1" applyBorder="1" applyAlignment="1">
      <alignment horizontal="left" vertical="top"/>
    </xf>
    <xf numFmtId="0" fontId="4" fillId="0" borderId="33" xfId="0" applyFont="1" applyBorder="1" applyAlignment="1">
      <alignment horizontal="left" vertical="top" wrapText="1"/>
    </xf>
    <xf numFmtId="0" fontId="22" fillId="0" borderId="33" xfId="0" applyFont="1" applyBorder="1" applyAlignment="1">
      <alignment horizontal="left" vertical="top"/>
    </xf>
    <xf numFmtId="0" fontId="22" fillId="0" borderId="0" xfId="0" applyFont="1" applyBorder="1" applyAlignment="1">
      <alignment horizontal="left" vertical="top"/>
    </xf>
    <xf numFmtId="0" fontId="22" fillId="0" borderId="34" xfId="0" applyFont="1" applyBorder="1" applyAlignment="1">
      <alignment horizontal="left" vertical="top"/>
    </xf>
    <xf numFmtId="0" fontId="22" fillId="0" borderId="40" xfId="0" applyFont="1" applyBorder="1" applyAlignment="1">
      <alignment horizontal="left" vertical="top"/>
    </xf>
    <xf numFmtId="0" fontId="22" fillId="0" borderId="39" xfId="0" applyFont="1" applyBorder="1" applyAlignment="1">
      <alignment horizontal="left" vertical="top"/>
    </xf>
    <xf numFmtId="0" fontId="22" fillId="0" borderId="41" xfId="0" applyFont="1" applyBorder="1" applyAlignment="1">
      <alignment horizontal="left" vertical="top"/>
    </xf>
    <xf numFmtId="164" fontId="2" fillId="0" borderId="40" xfId="1" applyFont="1" applyBorder="1" applyAlignment="1">
      <alignment horizontal="left" vertical="top"/>
    </xf>
    <xf numFmtId="164" fontId="2" fillId="0" borderId="39" xfId="1" applyFont="1" applyBorder="1" applyAlignment="1">
      <alignment horizontal="left" vertical="top"/>
    </xf>
    <xf numFmtId="0" fontId="20" fillId="0" borderId="33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8" fillId="2" borderId="1" xfId="1" applyFont="1" applyFill="1" applyBorder="1" applyAlignment="1">
      <alignment horizontal="center" vertical="center"/>
    </xf>
    <xf numFmtId="164" fontId="2" fillId="2" borderId="1" xfId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6" fillId="0" borderId="51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/>
    </xf>
    <xf numFmtId="0" fontId="17" fillId="8" borderId="28" xfId="0" applyFont="1" applyFill="1" applyBorder="1" applyAlignment="1">
      <alignment horizontal="center" vertical="center"/>
    </xf>
    <xf numFmtId="0" fontId="17" fillId="8" borderId="0" xfId="0" applyFont="1" applyFill="1" applyBorder="1" applyAlignment="1">
      <alignment horizontal="center" vertical="center"/>
    </xf>
    <xf numFmtId="0" fontId="17" fillId="8" borderId="63" xfId="0" applyFont="1" applyFill="1" applyBorder="1" applyAlignment="1">
      <alignment horizontal="center" vertical="center" wrapText="1"/>
    </xf>
    <xf numFmtId="0" fontId="17" fillId="8" borderId="64" xfId="0" applyFont="1" applyFill="1" applyBorder="1" applyAlignment="1">
      <alignment horizontal="center" vertical="center" wrapText="1"/>
    </xf>
    <xf numFmtId="0" fontId="3" fillId="0" borderId="23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top" wrapText="1"/>
    </xf>
    <xf numFmtId="164" fontId="3" fillId="0" borderId="51" xfId="1" applyFont="1" applyBorder="1" applyAlignment="1">
      <alignment horizontal="center" vertical="top"/>
    </xf>
    <xf numFmtId="164" fontId="3" fillId="0" borderId="7" xfId="1" applyFont="1" applyBorder="1" applyAlignment="1">
      <alignment horizontal="center" vertical="top"/>
    </xf>
    <xf numFmtId="0" fontId="12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0" fontId="12" fillId="0" borderId="25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 vertical="center"/>
    </xf>
  </cellXfs>
  <cellStyles count="4">
    <cellStyle name="40% - Accent5" xfId="3" builtinId="47"/>
    <cellStyle name="Comma [0]" xfId="1" builtinId="6"/>
    <cellStyle name="Normal" xfId="0" builtinId="0"/>
    <cellStyle name="Percent" xfId="2" builtinId="5"/>
  </cellStyles>
  <dxfs count="50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charset val="1"/>
        <scheme val="minor"/>
      </font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66" formatCode="_(* #,##0.00_);_(* \(#,##0.00\);_(* &quot;-&quot;_);_(@_)"/>
    </dxf>
    <dxf>
      <numFmt numFmtId="30" formatCode="@"/>
    </dxf>
    <dxf>
      <numFmt numFmtId="30" formatCode="@"/>
    </dxf>
    <dxf>
      <numFmt numFmtId="165" formatCode="000000"/>
      <alignment horizontal="center" vertical="bottom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numFmt numFmtId="30" formatCode="@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numFmt numFmtId="30" formatCode="@"/>
      <alignment vertical="top" textRotation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vertical="top" textRotation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9" formatCode="dd/mm/yyyy"/>
      <alignment vertical="top" textRotation="0" indent="0" justifyLastLine="0" shrinkToFit="0" readingOrder="0"/>
    </dxf>
    <dxf>
      <numFmt numFmtId="165" formatCode="000000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E3F3158-CF59-4E58-8CE6-3F886C74DC62}">
      <tableStyleElement type="wholeTable" dxfId="49"/>
      <tableStyleElement type="headerRow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BDC217C5-ED16-11CD-956C-0000C04E4C0A}" ax:license="04746E60CE4F11CDB23C0000C076FE" ax:persistence="persistPropertyBag">
  <ax:ocxPr ax:name="_ExtentX" ax:value="13150"/>
  <ax:ocxPr ax:name="_ExtentY" ax:value="6085"/>
  <ax:ocxPr ax:name="_Version" ax:value="393216"/>
  <ax:ocxPr ax:name="TabHeight" ax:value="520"/>
  <ax:ocxPr ax:name="TabCaption(0)" ax:value="SSTab1"/>
  <ax:ocxPr ax:name="Tab(0).ControlEnabled" ax:value="-1"/>
  <ax:ocxPr ax:name="Tab(0).ControlCount" ax:value="0"/>
  <ax:ocxPr ax:name="TabCaption(1)" ax:value="Tab 1"/>
  <ax:ocxPr ax:name="Tab(1).ControlEnabled" ax:value="0"/>
  <ax:ocxPr ax:name="Tab(1).ControlCount" ax:value="0"/>
  <ax:ocxPr ax:name="TabCaption(2)" ax:value="Tab 2"/>
  <ax:ocxPr ax:name="Tab(2).ControlEnabled" ax:value="0"/>
  <ax:ocxPr ax:name="Tab(2).ControlCount" ax:value="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965243"/>
  <ax:ocxPr ax:name="_ExtentY" ax:value="5965243"/>
  <ax:ocxPr ax:name="_Version" ax:value="393216"/>
  <ax:ocxPr ax:name="Font">
    <ax:font ax:persistence="persistPropertyBag">
      <ax:ocxPr ax:name="Name" ax:value="Calibri"/>
      <ax:ocxPr ax:name="Size" ax:value="9,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569769985"/>
  <ax:ocxPr ax:name="CurrentDate" ax:value="43932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ransaksi GUP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171450</xdr:rowOff>
    </xdr:from>
    <xdr:to>
      <xdr:col>12</xdr:col>
      <xdr:colOff>9525</xdr:colOff>
      <xdr:row>3</xdr:row>
      <xdr:rowOff>152400</xdr:rowOff>
    </xdr:to>
    <xdr:sp macro="" textlink="">
      <xdr:nvSpPr>
        <xdr:cNvPr id="2" name="Bagan alur: Proses Penggant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5" y="361950"/>
          <a:ext cx="7553325" cy="361950"/>
        </a:xfrm>
        <a:prstGeom prst="flowChartAlternateProcess">
          <a:avLst/>
        </a:prstGeom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SETTING APLIKASI</a:t>
          </a:r>
        </a:p>
      </xdr:txBody>
    </xdr:sp>
    <xdr:clientData/>
  </xdr:twoCellAnchor>
  <xdr:twoCellAnchor>
    <xdr:from>
      <xdr:col>9</xdr:col>
      <xdr:colOff>533400</xdr:colOff>
      <xdr:row>22</xdr:row>
      <xdr:rowOff>76200</xdr:rowOff>
    </xdr:from>
    <xdr:to>
      <xdr:col>10</xdr:col>
      <xdr:colOff>914400</xdr:colOff>
      <xdr:row>24</xdr:row>
      <xdr:rowOff>76200</xdr:rowOff>
    </xdr:to>
    <xdr:sp macro="" textlink="">
      <xdr:nvSpPr>
        <xdr:cNvPr id="10" name="Persegi Panjang: Sudut Lengkung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019925" y="4038600"/>
          <a:ext cx="9906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MULAI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</xdr:row>
          <xdr:rowOff>9525</xdr:rowOff>
        </xdr:from>
        <xdr:to>
          <xdr:col>18</xdr:col>
          <xdr:colOff>514350</xdr:colOff>
          <xdr:row>17</xdr:row>
          <xdr:rowOff>76200</xdr:rowOff>
        </xdr:to>
        <xdr:sp macro="" textlink="">
          <xdr:nvSpPr>
            <xdr:cNvPr id="4098" name="SSTab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</xdr:row>
          <xdr:rowOff>38100</xdr:rowOff>
        </xdr:from>
        <xdr:to>
          <xdr:col>9</xdr:col>
          <xdr:colOff>390525</xdr:colOff>
          <xdr:row>11</xdr:row>
          <xdr:rowOff>66675</xdr:rowOff>
        </xdr:to>
        <xdr:sp macro="" textlink="">
          <xdr:nvSpPr>
            <xdr:cNvPr id="2050" name="cmdBata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30</xdr:row>
          <xdr:rowOff>47625</xdr:rowOff>
        </xdr:from>
        <xdr:to>
          <xdr:col>7</xdr:col>
          <xdr:colOff>1333500</xdr:colOff>
          <xdr:row>32</xdr:row>
          <xdr:rowOff>19050</xdr:rowOff>
        </xdr:to>
        <xdr:sp macro="" textlink="">
          <xdr:nvSpPr>
            <xdr:cNvPr id="2051" name="cmdDaf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33</xdr:row>
          <xdr:rowOff>142875</xdr:rowOff>
        </xdr:from>
        <xdr:to>
          <xdr:col>9</xdr:col>
          <xdr:colOff>390525</xdr:colOff>
          <xdr:row>34</xdr:row>
          <xdr:rowOff>247650</xdr:rowOff>
        </xdr:to>
        <xdr:sp macro="" textlink="">
          <xdr:nvSpPr>
            <xdr:cNvPr id="2053" name="cmdHap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28576</xdr:colOff>
      <xdr:row>0</xdr:row>
      <xdr:rowOff>104775</xdr:rowOff>
    </xdr:from>
    <xdr:to>
      <xdr:col>7</xdr:col>
      <xdr:colOff>1323976</xdr:colOff>
      <xdr:row>2</xdr:row>
      <xdr:rowOff>85725</xdr:rowOff>
    </xdr:to>
    <xdr:sp macro="" textlink="">
      <xdr:nvSpPr>
        <xdr:cNvPr id="2" name="Bagan alur: Proses Pengganti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4026" y="104775"/>
          <a:ext cx="8077200" cy="361950"/>
        </a:xfrm>
        <a:prstGeom prst="flowChartAlternateProcess">
          <a:avLst/>
        </a:prstGeom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FORM ENTRI DATA KUITANSI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57150</xdr:rowOff>
        </xdr:from>
        <xdr:to>
          <xdr:col>4</xdr:col>
          <xdr:colOff>428625</xdr:colOff>
          <xdr:row>8</xdr:row>
          <xdr:rowOff>28575</xdr:rowOff>
        </xdr:to>
        <xdr:sp macro="" textlink="">
          <xdr:nvSpPr>
            <xdr:cNvPr id="2070" name="cmdAkun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72" name="cmdSimpa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3</xdr:row>
          <xdr:rowOff>76200</xdr:rowOff>
        </xdr:from>
        <xdr:to>
          <xdr:col>9</xdr:col>
          <xdr:colOff>390525</xdr:colOff>
          <xdr:row>5</xdr:row>
          <xdr:rowOff>95250</xdr:rowOff>
        </xdr:to>
        <xdr:sp macro="" textlink="">
          <xdr:nvSpPr>
            <xdr:cNvPr id="2080" name="cmdTambah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76200</xdr:rowOff>
        </xdr:from>
        <xdr:to>
          <xdr:col>3</xdr:col>
          <xdr:colOff>1333500</xdr:colOff>
          <xdr:row>6</xdr:row>
          <xdr:rowOff>28575</xdr:rowOff>
        </xdr:to>
        <xdr:sp macro="" textlink="">
          <xdr:nvSpPr>
            <xdr:cNvPr id="2081" name="dtp_TglKW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35</xdr:row>
          <xdr:rowOff>38100</xdr:rowOff>
        </xdr:from>
        <xdr:to>
          <xdr:col>9</xdr:col>
          <xdr:colOff>390525</xdr:colOff>
          <xdr:row>36</xdr:row>
          <xdr:rowOff>142875</xdr:rowOff>
        </xdr:to>
        <xdr:sp macro="" textlink="">
          <xdr:nvSpPr>
            <xdr:cNvPr id="2090" name="cmdEditBrg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252413</xdr:colOff>
      <xdr:row>0</xdr:row>
      <xdr:rowOff>0</xdr:rowOff>
    </xdr:from>
    <xdr:to>
      <xdr:col>1</xdr:col>
      <xdr:colOff>928687</xdr:colOff>
      <xdr:row>2</xdr:row>
      <xdr:rowOff>1</xdr:rowOff>
    </xdr:to>
    <xdr:grpSp>
      <xdr:nvGrpSpPr>
        <xdr:cNvPr id="4" name="Grup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2181226" y="0"/>
          <a:ext cx="676274" cy="392907"/>
          <a:chOff x="9972647" y="142875"/>
          <a:chExt cx="800100" cy="533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900-000002040000}"/>
                  </a:ext>
                </a:extLst>
              </xdr:cNvPr>
              <xdr:cNvSpPr/>
            </xdr:nvSpPr>
            <xdr:spPr bwMode="auto">
              <a:xfrm>
                <a:off x="9972647" y="142875"/>
                <a:ext cx="800100" cy="5333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GB" sz="1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Penomoran</a:t>
                </a:r>
              </a:p>
            </xdr:txBody>
          </xdr:sp>
        </mc:Choice>
        <mc:Fallback/>
      </mc:AlternateContent>
      <xdr:pic macro="[0]!Lembar1.getAkun">
        <xdr:nvPicPr>
          <xdr:cNvPr id="3" name="Grafik 2" descr="Matematika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183255" y="180975"/>
            <a:ext cx="378941" cy="35560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7</xdr:row>
          <xdr:rowOff>66675</xdr:rowOff>
        </xdr:from>
        <xdr:to>
          <xdr:col>9</xdr:col>
          <xdr:colOff>1019175</xdr:colOff>
          <xdr:row>9</xdr:row>
          <xdr:rowOff>28575</xdr:rowOff>
        </xdr:to>
        <xdr:sp macro="" textlink="">
          <xdr:nvSpPr>
            <xdr:cNvPr id="1028" name="cmdPili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19049</xdr:colOff>
      <xdr:row>0</xdr:row>
      <xdr:rowOff>66675</xdr:rowOff>
    </xdr:from>
    <xdr:to>
      <xdr:col>21</xdr:col>
      <xdr:colOff>0</xdr:colOff>
      <xdr:row>1</xdr:row>
      <xdr:rowOff>104775</xdr:rowOff>
    </xdr:to>
    <xdr:sp macro="" textlink="">
      <xdr:nvSpPr>
        <xdr:cNvPr id="8" name="Bagan alur: Proses Pengganti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3411199" y="66675"/>
          <a:ext cx="6715126" cy="419100"/>
        </a:xfrm>
        <a:prstGeom prst="flowChartAlternateProcess">
          <a:avLst/>
        </a:prstGeom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Rincian</a:t>
          </a:r>
          <a:r>
            <a:rPr lang="en-GB" sz="1600" b="1" baseline="0"/>
            <a:t> </a:t>
          </a:r>
          <a:r>
            <a:rPr lang="en-GB" sz="1400" b="1" baseline="0"/>
            <a:t>RKAKL</a:t>
          </a:r>
          <a:r>
            <a:rPr lang="en-GB" sz="1600" b="1"/>
            <a:t> yang dipilih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790575</xdr:colOff>
          <xdr:row>885</xdr:row>
          <xdr:rowOff>9525</xdr:rowOff>
        </xdr:from>
        <xdr:to>
          <xdr:col>15</xdr:col>
          <xdr:colOff>342900</xdr:colOff>
          <xdr:row>887</xdr:row>
          <xdr:rowOff>142875</xdr:rowOff>
        </xdr:to>
        <xdr:sp macro="" textlink="">
          <xdr:nvSpPr>
            <xdr:cNvPr id="1029" name="getFormu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874B-30E3-4FBA-B6D4-848F1ACAF2C5}" name="Rincian_Brg" displayName="Rincian_Brg" ref="C35:H37" totalsRowShown="0" headerRowDxfId="1" dataDxfId="0">
  <autoFilter ref="C35:H37" xr:uid="{2DB8B319-6C95-4BD7-BB24-D38A4073D597}"/>
  <tableColumns count="6">
    <tableColumn id="1" xr3:uid="{53A25B45-CE19-4F51-B2A0-40A099F0636C}" name="No" dataDxfId="7"/>
    <tableColumn id="2" xr3:uid="{C5380988-51A6-480C-A818-2B80F0AED3EF}" name="Nama Barang" dataDxfId="6"/>
    <tableColumn id="3" xr3:uid="{7F669309-6816-4566-AF2A-336262A058D1}" name="Satuan" dataDxfId="5"/>
    <tableColumn id="4" xr3:uid="{16C38117-3534-4FF1-8EAF-5AAA4AE880ED}" name="Volume" dataDxfId="4"/>
    <tableColumn id="5" xr3:uid="{C29D6ECB-9C28-4F8A-B0D8-A1B8D02C55A8}" name="H. Satuan" dataDxfId="3"/>
    <tableColumn id="6" xr3:uid="{05A7DF3C-1F55-454F-A3A3-77C4833AC85E}" name="Jumlah" dataDxfId="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F6F52A-8AC3-469E-8A79-38D36E4258B2}" name="dd_kuitansi" displayName="dd_kuitansi" ref="A3:W8" totalsRowShown="0" headerRowDxfId="46" dataDxfId="45">
  <autoFilter ref="A3:W8" xr:uid="{E76FCD36-29D3-4DF9-96E6-5C2F9A671BF2}"/>
  <tableColumns count="23">
    <tableColumn id="1" xr3:uid="{5B9C1378-4862-4CCC-A0B4-2BB143F0CAAC}" name="No Kuitansi" dataDxfId="44"/>
    <tableColumn id="2" xr3:uid="{E7335C76-4FC6-490B-8638-D153AE676630}" name="Tgl Kuitansi" dataDxfId="43"/>
    <tableColumn id="16" xr3:uid="{9A51C20E-A736-4D0C-986A-AF8929D3B7EA}" name="Jns_KWT" dataDxfId="42"/>
    <tableColumn id="3" xr3:uid="{843BD87B-59F8-4F6F-878E-6B032DD7F48B}" name="MAK" dataDxfId="41"/>
    <tableColumn id="4" xr3:uid="{35B987C7-ABDB-4960-995E-1F7863A06753}" name="Kegiatan" dataDxfId="40"/>
    <tableColumn id="5" xr3:uid="{79D2583D-6F03-48B0-8B9D-0775E0961E2B}" name="Keperluan" dataDxfId="39"/>
    <tableColumn id="6" xr3:uid="{5CC41C20-CDC4-41B4-85A5-25D3ED5632AA}" name="Perusahaan" dataDxfId="38"/>
    <tableColumn id="9" xr3:uid="{48A5CB93-9340-4AA7-BC5B-3220AA222120}" name="Jumlah" dataDxfId="37"/>
    <tableColumn id="21" xr3:uid="{015E42A2-BA95-4513-8F6F-16190F357A08}" name="Uraian" dataDxfId="36"/>
    <tableColumn id="18" xr3:uid="{FDBB5961-C0C4-495D-84A2-1F750FFEEB6C}" name="Penerima" dataDxfId="35"/>
    <tableColumn id="19" xr3:uid="{3104FA52-D38B-407B-B7F0-F907A7A976FC}" name="ItemBrg" dataDxfId="34"/>
    <tableColumn id="20" xr3:uid="{A021728B-F182-4985-8FBD-4B7667B1A2B1}" name="Cetak_ke" dataDxfId="33"/>
    <tableColumn id="10" xr3:uid="{F4F91CE3-1565-4072-B3C4-38FD9A0367B0}" name="PPn" dataDxfId="32"/>
    <tableColumn id="11" xr3:uid="{8684DC78-98AC-4B2E-A297-2B04993761D3}" name="PPh21" dataDxfId="31"/>
    <tableColumn id="12" xr3:uid="{D6D3B68B-BE9E-4F20-B60A-97CE7ACEB9A3}" name="PPh22" dataDxfId="30"/>
    <tableColumn id="13" xr3:uid="{169420C2-8169-4B7F-B72A-3DB0B88E6394}" name="PPh23" dataDxfId="29"/>
    <tableColumn id="14" xr3:uid="{0F6676CD-39DF-4CDA-809A-27DE55A4FD70}" name="PPh24" dataDxfId="28"/>
    <tableColumn id="22" xr3:uid="{9C92AE2A-4A50-491E-B770-9FF5559B355E}" name="ket_Giat" dataDxfId="27"/>
    <tableColumn id="23" xr3:uid="{0BD70404-9F46-42E1-BD43-F691B92F739A}" name="ket_Output" dataDxfId="26"/>
    <tableColumn id="24" xr3:uid="{67DE5663-8E94-42E4-984C-66F467F31FFB}" name="ket_sOutput" dataDxfId="25"/>
    <tableColumn id="25" xr3:uid="{2D24E7B8-BAFB-4EC9-88C5-EFBB94A4CA44}" name="ket_Kmpnen" dataDxfId="24"/>
    <tableColumn id="26" xr3:uid="{619E5FD8-C989-411E-96F7-1959BFE38C5B}" name="ket_sKmpnen" dataDxfId="23"/>
    <tableColumn id="27" xr3:uid="{38ECF498-841B-480D-9D2B-9F52AD2F8A6B}" name="ket_Akun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D433875-68E8-4A6A-B603-12B5FBDD0829}" name="dd_Kuitansi_detil" displayName="dd_Kuitansi_detil" ref="A3:F13" totalsRowShown="0">
  <autoFilter ref="A3:F13" xr:uid="{E76FCD36-29D3-4DF9-96E6-5C2F9A671BF2}"/>
  <tableColumns count="6">
    <tableColumn id="1" xr3:uid="{3CF97EE4-9B05-4377-8065-81F5178A863B}" name="No Kuitansi" dataDxfId="21"/>
    <tableColumn id="3" xr3:uid="{C526E992-8C46-442A-B91D-AB87AE60662F}" name="Nama Barang" dataDxfId="20"/>
    <tableColumn id="4" xr3:uid="{54F4E661-C3A8-4277-9C44-3ABFCA1B30BA}" name="Satuan" dataDxfId="19"/>
    <tableColumn id="5" xr3:uid="{54A9EF4F-5727-40F3-A002-7E9DC5A26EE0}" name="Volume" dataDxfId="18"/>
    <tableColumn id="6" xr3:uid="{569E5522-3100-4C78-BB1A-A812E4B672F0}" name="H. Satuan"/>
    <tableColumn id="7" xr3:uid="{561A7BCD-6416-409B-A6C4-63D159071C0C}" name="Jumlah Harga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B9DFC8-B53D-4AEF-A141-284989D7765A}" name="Master_Barang" displayName="Master_Barang" ref="B2:G9" totalsRowShown="0">
  <autoFilter ref="B2:G9" xr:uid="{B1B1DB59-6422-4EFB-9A50-AB7722F96D76}"/>
  <tableColumns count="6">
    <tableColumn id="1" xr3:uid="{ACEB1177-7547-413F-9822-B3EC0D918C0E}" name="NAMA BARANG"/>
    <tableColumn id="2" xr3:uid="{D188B9CD-DA8E-488B-BFC2-5B3481B0E2AE}" name="SATUAN"/>
    <tableColumn id="3" xr3:uid="{2004A2DC-16A1-411A-A790-7961454A13AB}" name="H. SATUAN"/>
    <tableColumn id="4" xr3:uid="{8A450604-85F8-4607-8965-84FB34B81D68}" name="JML BARANG TERIMA"/>
    <tableColumn id="5" xr3:uid="{8C0F4C71-8F39-47D8-90A1-D71A95D667C5}" name="JML BARANG KELUAR"/>
    <tableColumn id="6" xr3:uid="{F9A89E03-F3D4-446F-8399-64BCF2A41D06}" name="SISA BARANG">
      <calculatedColumnFormula>Master_Barang[[#This Row],[JML BARANG TERIMA]]-Master_Barang[[#This Row],[JML BARANG KELUAR]]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A7DF690-147E-4082-96E2-1F9886DB0AD4}" name="master_supplier" displayName="master_supplier" ref="A3:F6" totalsRowShown="0">
  <autoFilter ref="A3:F6" xr:uid="{3265EBC1-26BC-4673-BA4B-61173B47C5BC}"/>
  <tableColumns count="6">
    <tableColumn id="1" xr3:uid="{C82B99AF-7E52-40BC-AF72-22D4F37AA4F5}" name="No" dataDxfId="17"/>
    <tableColumn id="2" xr3:uid="{89662002-18EF-4D78-955F-A294E47AA0F5}" name="Nama Perusahaan"/>
    <tableColumn id="3" xr3:uid="{49FF35FF-E685-4277-B097-F6C735530DD4}" name="Alamat"/>
    <tableColumn id="4" xr3:uid="{D1DAE7F5-F661-4F23-907D-83D6BA84FD5D}" name="No Telp "/>
    <tableColumn id="5" xr3:uid="{53956F12-5940-46CA-A14E-D2781B6CC8BC}" name="Nama Pimpinan"/>
    <tableColumn id="6" xr3:uid="{35CBB6F6-A2D2-4C7F-9FDC-88C1092826DF}" name="Penjuala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3F6D5-F127-4A31-8D89-7E4631D73E17}">
  <sheetPr codeName="sh_SettingAPP"/>
  <dimension ref="B5:L25"/>
  <sheetViews>
    <sheetView showGridLines="0" tabSelected="1" workbookViewId="0">
      <selection activeCell="O6" sqref="O6"/>
    </sheetView>
  </sheetViews>
  <sheetFormatPr defaultRowHeight="15" x14ac:dyDescent="0.25"/>
  <cols>
    <col min="2" max="2" width="2.7109375" customWidth="1"/>
    <col min="3" max="3" width="16" customWidth="1"/>
    <col min="6" max="6" width="17.85546875" customWidth="1"/>
    <col min="8" max="8" width="12.140625" bestFit="1" customWidth="1"/>
    <col min="9" max="9" width="12" bestFit="1" customWidth="1"/>
    <col min="11" max="11" width="13.85546875" customWidth="1"/>
    <col min="12" max="12" width="2.42578125" customWidth="1"/>
  </cols>
  <sheetData>
    <row r="5" spans="2:12" x14ac:dyDescent="0.25">
      <c r="B5" s="151"/>
      <c r="C5" s="152"/>
      <c r="D5" s="152"/>
      <c r="E5" s="152"/>
      <c r="F5" s="152"/>
      <c r="G5" s="152"/>
      <c r="H5" s="152"/>
      <c r="I5" s="152"/>
      <c r="J5" s="152"/>
      <c r="K5" s="152"/>
      <c r="L5" s="153"/>
    </row>
    <row r="6" spans="2:12" x14ac:dyDescent="0.25">
      <c r="B6" s="154"/>
      <c r="C6" s="162" t="s">
        <v>1316</v>
      </c>
      <c r="D6" s="164">
        <v>2020</v>
      </c>
      <c r="E6" s="86"/>
      <c r="F6" s="86"/>
      <c r="G6" s="86"/>
      <c r="H6" s="86"/>
      <c r="I6" s="86"/>
      <c r="J6" s="86"/>
      <c r="K6" s="86"/>
      <c r="L6" s="155"/>
    </row>
    <row r="7" spans="2:12" ht="6" customHeight="1" x14ac:dyDescent="0.25">
      <c r="B7" s="154"/>
      <c r="C7" s="161"/>
      <c r="D7" s="163"/>
      <c r="E7" s="86"/>
      <c r="F7" s="86"/>
      <c r="G7" s="86"/>
      <c r="H7" s="86"/>
      <c r="I7" s="86"/>
      <c r="J7" s="86"/>
      <c r="K7" s="86"/>
      <c r="L7" s="155"/>
    </row>
    <row r="8" spans="2:12" x14ac:dyDescent="0.25">
      <c r="B8" s="154"/>
      <c r="C8" s="162" t="s">
        <v>1332</v>
      </c>
      <c r="D8" s="164">
        <v>626402</v>
      </c>
      <c r="E8" s="86"/>
      <c r="F8" s="86"/>
      <c r="G8" s="86"/>
      <c r="H8" s="86"/>
      <c r="I8" s="86"/>
      <c r="J8" s="86"/>
      <c r="K8" s="86"/>
      <c r="L8" s="155"/>
    </row>
    <row r="9" spans="2:12" ht="6" customHeight="1" x14ac:dyDescent="0.25">
      <c r="B9" s="154"/>
      <c r="C9" s="61"/>
      <c r="D9" s="148"/>
      <c r="E9" s="86"/>
      <c r="F9" s="86"/>
      <c r="G9" s="86"/>
      <c r="H9" s="86"/>
      <c r="I9" s="86"/>
      <c r="J9" s="86"/>
      <c r="K9" s="86"/>
      <c r="L9" s="155"/>
    </row>
    <row r="10" spans="2:12" x14ac:dyDescent="0.25">
      <c r="B10" s="154"/>
      <c r="C10" s="162" t="s">
        <v>1333</v>
      </c>
      <c r="D10" s="216" t="s">
        <v>1395</v>
      </c>
      <c r="E10" s="217"/>
      <c r="F10" s="217"/>
      <c r="G10" s="217"/>
      <c r="H10" s="218"/>
      <c r="I10" s="86"/>
      <c r="J10" s="86"/>
      <c r="K10" s="86"/>
      <c r="L10" s="155"/>
    </row>
    <row r="11" spans="2:12" s="148" customFormat="1" x14ac:dyDescent="0.25">
      <c r="B11" s="156"/>
      <c r="C11" s="165"/>
      <c r="D11" s="147"/>
      <c r="E11" s="147"/>
      <c r="F11" s="147"/>
      <c r="G11" s="147"/>
      <c r="H11" s="147"/>
      <c r="L11" s="157"/>
    </row>
    <row r="12" spans="2:12" x14ac:dyDescent="0.25">
      <c r="B12" s="154"/>
      <c r="C12" s="219" t="s">
        <v>1334</v>
      </c>
      <c r="D12" s="220"/>
      <c r="E12" s="220"/>
      <c r="F12" s="221"/>
      <c r="G12" s="86"/>
      <c r="H12" s="225" t="s">
        <v>1304</v>
      </c>
      <c r="I12" s="226"/>
      <c r="J12" s="226"/>
      <c r="K12" s="227"/>
      <c r="L12" s="155"/>
    </row>
    <row r="13" spans="2:12" x14ac:dyDescent="0.25">
      <c r="B13" s="154"/>
      <c r="C13" s="166" t="s">
        <v>1330</v>
      </c>
      <c r="D13" s="222" t="s">
        <v>1336</v>
      </c>
      <c r="E13" s="223"/>
      <c r="F13" s="224"/>
      <c r="G13" s="86"/>
      <c r="H13" s="170" t="s">
        <v>1330</v>
      </c>
      <c r="I13" s="222" t="s">
        <v>1336</v>
      </c>
      <c r="J13" s="223"/>
      <c r="K13" s="224"/>
      <c r="L13" s="155"/>
    </row>
    <row r="14" spans="2:12" x14ac:dyDescent="0.25">
      <c r="B14" s="154"/>
      <c r="C14" s="167" t="s">
        <v>1331</v>
      </c>
      <c r="D14" s="222" t="s">
        <v>1305</v>
      </c>
      <c r="E14" s="223"/>
      <c r="F14" s="224"/>
      <c r="G14" s="86"/>
      <c r="H14" s="168" t="s">
        <v>1331</v>
      </c>
      <c r="I14" s="228" t="s">
        <v>1305</v>
      </c>
      <c r="J14" s="229"/>
      <c r="K14" s="230"/>
      <c r="L14" s="155"/>
    </row>
    <row r="15" spans="2:12" x14ac:dyDescent="0.25">
      <c r="B15" s="154"/>
      <c r="C15" s="86"/>
      <c r="D15" s="86"/>
      <c r="E15" s="86"/>
      <c r="F15" s="86"/>
      <c r="G15" s="86"/>
      <c r="H15" s="86"/>
      <c r="I15" s="86"/>
      <c r="J15" s="86"/>
      <c r="K15" s="86"/>
      <c r="L15" s="155"/>
    </row>
    <row r="16" spans="2:12" x14ac:dyDescent="0.25">
      <c r="B16" s="154"/>
      <c r="C16" s="86"/>
      <c r="D16" s="86"/>
      <c r="E16" s="86"/>
      <c r="F16" s="86"/>
      <c r="G16" s="86"/>
      <c r="H16" s="86"/>
      <c r="I16" s="86"/>
      <c r="J16" s="86"/>
      <c r="K16" s="86"/>
      <c r="L16" s="155"/>
    </row>
    <row r="17" spans="2:12" x14ac:dyDescent="0.25">
      <c r="B17" s="154"/>
      <c r="C17" s="231" t="s">
        <v>1325</v>
      </c>
      <c r="D17" s="232"/>
      <c r="E17" s="232"/>
      <c r="F17" s="233"/>
      <c r="G17" s="86"/>
      <c r="H17" s="86"/>
      <c r="I17" s="86"/>
      <c r="J17" s="86"/>
      <c r="K17" s="86"/>
      <c r="L17" s="155"/>
    </row>
    <row r="18" spans="2:12" x14ac:dyDescent="0.25">
      <c r="B18" s="154"/>
      <c r="C18" s="234"/>
      <c r="D18" s="235"/>
      <c r="E18" s="235"/>
      <c r="F18" s="236"/>
      <c r="G18" s="86"/>
      <c r="H18" s="225" t="s">
        <v>1335</v>
      </c>
      <c r="I18" s="226"/>
      <c r="J18" s="226"/>
      <c r="K18" s="227"/>
      <c r="L18" s="155"/>
    </row>
    <row r="19" spans="2:12" x14ac:dyDescent="0.25">
      <c r="B19" s="154"/>
      <c r="C19" s="169" t="s">
        <v>1330</v>
      </c>
      <c r="D19" s="237" t="s">
        <v>1339</v>
      </c>
      <c r="E19" s="223"/>
      <c r="F19" s="224"/>
      <c r="G19" s="86"/>
      <c r="H19" s="166" t="s">
        <v>1330</v>
      </c>
      <c r="I19" s="238" t="s">
        <v>1337</v>
      </c>
      <c r="J19" s="229"/>
      <c r="K19" s="230"/>
      <c r="L19" s="155"/>
    </row>
    <row r="20" spans="2:12" x14ac:dyDescent="0.25">
      <c r="B20" s="154"/>
      <c r="C20" s="168" t="s">
        <v>1331</v>
      </c>
      <c r="D20" s="237" t="s">
        <v>1329</v>
      </c>
      <c r="E20" s="223"/>
      <c r="F20" s="224"/>
      <c r="G20" s="86"/>
      <c r="H20" s="167" t="s">
        <v>1331</v>
      </c>
      <c r="I20" s="222" t="s">
        <v>1338</v>
      </c>
      <c r="J20" s="223"/>
      <c r="K20" s="224"/>
      <c r="L20" s="155"/>
    </row>
    <row r="21" spans="2:12" x14ac:dyDescent="0.25">
      <c r="B21" s="154"/>
      <c r="C21" s="86"/>
      <c r="D21" s="86"/>
      <c r="E21" s="86"/>
      <c r="F21" s="86"/>
      <c r="G21" s="86"/>
      <c r="H21" s="86"/>
      <c r="I21" s="86"/>
      <c r="J21" s="86"/>
      <c r="K21" s="86"/>
      <c r="L21" s="155"/>
    </row>
    <row r="22" spans="2:12" x14ac:dyDescent="0.25">
      <c r="B22" s="154"/>
      <c r="C22" s="86"/>
      <c r="D22" s="86"/>
      <c r="E22" s="86"/>
      <c r="F22" s="86"/>
      <c r="G22" s="86"/>
      <c r="H22" s="86"/>
      <c r="I22" s="86"/>
      <c r="J22" s="86"/>
      <c r="K22" s="86"/>
      <c r="L22" s="155"/>
    </row>
    <row r="23" spans="2:12" x14ac:dyDescent="0.25">
      <c r="B23" s="154"/>
      <c r="C23" s="86"/>
      <c r="D23" s="86"/>
      <c r="E23" s="86"/>
      <c r="F23" s="86"/>
      <c r="G23" s="86"/>
      <c r="H23" s="86"/>
      <c r="I23" s="86"/>
      <c r="J23" s="86"/>
      <c r="K23" s="86"/>
      <c r="L23" s="155"/>
    </row>
    <row r="24" spans="2:12" x14ac:dyDescent="0.25">
      <c r="B24" s="154"/>
      <c r="C24" s="86"/>
      <c r="D24" s="86"/>
      <c r="E24" s="86"/>
      <c r="F24" s="86"/>
      <c r="G24" s="86"/>
      <c r="H24" s="86"/>
      <c r="I24" s="86"/>
      <c r="J24" s="86"/>
      <c r="K24" s="86"/>
      <c r="L24" s="155"/>
    </row>
    <row r="25" spans="2:12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60"/>
    </row>
  </sheetData>
  <mergeCells count="13">
    <mergeCell ref="C17:F18"/>
    <mergeCell ref="H18:K18"/>
    <mergeCell ref="D19:F19"/>
    <mergeCell ref="I19:K19"/>
    <mergeCell ref="D20:F20"/>
    <mergeCell ref="I20:K20"/>
    <mergeCell ref="D10:H10"/>
    <mergeCell ref="C12:F12"/>
    <mergeCell ref="D13:F13"/>
    <mergeCell ref="D14:F14"/>
    <mergeCell ref="H12:K12"/>
    <mergeCell ref="I13:K13"/>
    <mergeCell ref="I14:K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SSTab1">
          <controlPr defaultSize="0" autoLine="0" autoPict="0" r:id="rId5">
            <anchor moveWithCells="1">
              <from>
                <xdr:col>13</xdr:col>
                <xdr:colOff>104775</xdr:colOff>
                <xdr:row>9</xdr:row>
                <xdr:rowOff>9525</xdr:rowOff>
              </from>
              <to>
                <xdr:col>18</xdr:col>
                <xdr:colOff>514350</xdr:colOff>
                <xdr:row>17</xdr:row>
                <xdr:rowOff>76200</xdr:rowOff>
              </to>
            </anchor>
          </controlPr>
        </control>
      </mc:Choice>
      <mc:Fallback>
        <control shapeId="4098" r:id="rId4" name="SSTab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352B0-CAD2-4D53-B798-909AD0B215C8}">
  <sheetPr codeName="sh_transGUP">
    <tabColor rgb="FF00B050"/>
    <pageSetUpPr fitToPage="1"/>
  </sheetPr>
  <dimension ref="A1:R37"/>
  <sheetViews>
    <sheetView showGridLines="0" topLeftCell="C1" zoomScaleNormal="100" workbookViewId="0"/>
  </sheetViews>
  <sheetFormatPr defaultRowHeight="15" x14ac:dyDescent="0.25"/>
  <cols>
    <col min="1" max="1" width="5.7109375" style="54" hidden="1" customWidth="1"/>
    <col min="2" max="2" width="2" style="54" hidden="1" customWidth="1"/>
    <col min="3" max="3" width="19.5703125" style="54" bestFit="1" customWidth="1"/>
    <col min="4" max="4" width="48.7109375" style="54" customWidth="1"/>
    <col min="5" max="5" width="11.5703125" style="54" bestFit="1" customWidth="1"/>
    <col min="6" max="6" width="13.7109375" style="54" customWidth="1"/>
    <col min="7" max="7" width="18.5703125" style="54" customWidth="1"/>
    <col min="8" max="8" width="20.5703125" style="54" customWidth="1"/>
    <col min="9" max="9" width="9.85546875" style="54" bestFit="1" customWidth="1"/>
    <col min="10" max="10" width="7" style="54" customWidth="1"/>
    <col min="11" max="16384" width="9.140625" style="54"/>
  </cols>
  <sheetData>
    <row r="1" spans="2:18" x14ac:dyDescent="0.25">
      <c r="B1" s="53">
        <v>36</v>
      </c>
    </row>
    <row r="4" spans="2:18" ht="15.75" customHeight="1" x14ac:dyDescent="0.25">
      <c r="C4" s="55" t="s">
        <v>1209</v>
      </c>
      <c r="D4" s="56" t="s">
        <v>1389</v>
      </c>
      <c r="E4" s="57"/>
      <c r="G4" s="252" t="s">
        <v>1235</v>
      </c>
      <c r="H4" s="249">
        <f>SUM(Rincian_Brg[Jumlah])</f>
        <v>325000</v>
      </c>
      <c r="I4" s="57"/>
      <c r="J4" s="57"/>
    </row>
    <row r="5" spans="2:18" ht="6" customHeight="1" x14ac:dyDescent="0.25">
      <c r="C5" s="58"/>
      <c r="D5" s="57"/>
      <c r="E5" s="57"/>
      <c r="F5" s="57"/>
      <c r="G5" s="253"/>
      <c r="H5" s="250"/>
      <c r="I5" s="57"/>
      <c r="J5" s="57"/>
    </row>
    <row r="6" spans="2:18" x14ac:dyDescent="0.25">
      <c r="C6" s="55" t="s">
        <v>1222</v>
      </c>
      <c r="D6" s="59"/>
      <c r="E6" s="57"/>
      <c r="F6" s="57"/>
      <c r="G6" s="253"/>
      <c r="H6" s="251"/>
      <c r="I6" s="57"/>
      <c r="J6" s="57"/>
    </row>
    <row r="7" spans="2:18" s="60" customFormat="1" ht="6" customHeight="1" x14ac:dyDescent="0.25">
      <c r="C7" s="61"/>
      <c r="D7" s="62"/>
      <c r="E7" s="63"/>
      <c r="F7" s="63"/>
      <c r="G7" s="63"/>
      <c r="H7" s="63"/>
      <c r="I7" s="63"/>
      <c r="J7" s="63"/>
    </row>
    <row r="8" spans="2:18" ht="15.75" x14ac:dyDescent="0.25">
      <c r="C8" s="55" t="s">
        <v>1243</v>
      </c>
      <c r="D8" s="64" t="s">
        <v>682</v>
      </c>
      <c r="E8" s="57"/>
      <c r="F8" s="242" t="s">
        <v>1241</v>
      </c>
      <c r="G8" s="242"/>
      <c r="H8" s="242"/>
      <c r="I8" s="57"/>
      <c r="J8" s="57"/>
      <c r="N8" s="257"/>
      <c r="O8" s="257"/>
      <c r="P8" s="257"/>
      <c r="Q8" s="257"/>
      <c r="R8" s="257"/>
    </row>
    <row r="9" spans="2:18" ht="6" customHeight="1" x14ac:dyDescent="0.25">
      <c r="C9" s="65"/>
      <c r="E9" s="57"/>
      <c r="H9" s="57"/>
      <c r="I9" s="57"/>
      <c r="J9" s="57"/>
      <c r="N9" s="257"/>
      <c r="O9" s="257"/>
      <c r="P9" s="257"/>
      <c r="Q9" s="257"/>
      <c r="R9" s="257"/>
    </row>
    <row r="10" spans="2:18" x14ac:dyDescent="0.25">
      <c r="C10" s="55" t="s">
        <v>1244</v>
      </c>
      <c r="D10" s="66" t="s">
        <v>34</v>
      </c>
      <c r="E10" s="57"/>
      <c r="F10" s="67" t="s">
        <v>1216</v>
      </c>
      <c r="G10" s="206"/>
      <c r="H10" s="208"/>
      <c r="I10" s="57"/>
      <c r="J10" s="57"/>
      <c r="N10" s="257"/>
      <c r="O10" s="257"/>
      <c r="P10" s="257"/>
      <c r="Q10" s="257"/>
      <c r="R10" s="257"/>
    </row>
    <row r="11" spans="2:18" ht="6" customHeight="1" x14ac:dyDescent="0.25">
      <c r="C11" s="68"/>
      <c r="D11" s="69"/>
      <c r="E11" s="57"/>
      <c r="H11" s="57"/>
      <c r="I11" s="57"/>
      <c r="J11" s="57"/>
      <c r="K11" s="70"/>
      <c r="L11" s="70"/>
      <c r="M11" s="70"/>
      <c r="N11" s="257"/>
      <c r="O11" s="257"/>
      <c r="P11" s="257"/>
      <c r="Q11" s="257"/>
      <c r="R11" s="257"/>
    </row>
    <row r="12" spans="2:18" x14ac:dyDescent="0.25">
      <c r="C12" s="76" t="s">
        <v>1210</v>
      </c>
      <c r="D12" s="254" t="s">
        <v>1381</v>
      </c>
      <c r="E12" s="57"/>
      <c r="F12" s="67" t="s">
        <v>1217</v>
      </c>
      <c r="G12" s="206"/>
      <c r="H12" s="208"/>
      <c r="I12" s="57"/>
      <c r="J12" s="57"/>
      <c r="K12" s="70"/>
      <c r="L12" s="70"/>
      <c r="M12" s="70"/>
      <c r="N12" s="257"/>
      <c r="O12" s="257"/>
      <c r="P12" s="257"/>
      <c r="Q12" s="257"/>
      <c r="R12" s="257"/>
    </row>
    <row r="13" spans="2:18" ht="6" customHeight="1" x14ac:dyDescent="0.25">
      <c r="C13" s="77"/>
      <c r="D13" s="255"/>
      <c r="E13" s="57"/>
      <c r="H13" s="57"/>
      <c r="I13" s="57"/>
      <c r="J13" s="57"/>
      <c r="K13" s="70"/>
      <c r="L13" s="70"/>
      <c r="M13" s="70"/>
      <c r="N13" s="257"/>
      <c r="O13" s="257"/>
      <c r="P13" s="257"/>
      <c r="Q13" s="257"/>
      <c r="R13" s="257"/>
    </row>
    <row r="14" spans="2:18" x14ac:dyDescent="0.25">
      <c r="C14" s="71"/>
      <c r="D14" s="256"/>
      <c r="E14" s="57"/>
      <c r="F14" s="67" t="s">
        <v>1218</v>
      </c>
      <c r="G14" s="206"/>
      <c r="H14" s="208"/>
      <c r="I14" s="57"/>
      <c r="J14" s="57"/>
      <c r="K14" s="70"/>
      <c r="L14" s="70"/>
      <c r="M14" s="70"/>
      <c r="N14" s="257"/>
      <c r="O14" s="257"/>
      <c r="P14" s="257"/>
      <c r="Q14" s="257"/>
      <c r="R14" s="257"/>
    </row>
    <row r="15" spans="2:18" ht="6" customHeight="1" x14ac:dyDescent="0.25">
      <c r="C15" s="71"/>
      <c r="D15" s="72"/>
      <c r="E15" s="63"/>
      <c r="F15" s="73"/>
      <c r="G15" s="74"/>
      <c r="H15" s="75"/>
      <c r="I15" s="57"/>
      <c r="J15" s="57"/>
      <c r="K15" s="70"/>
      <c r="L15" s="70"/>
      <c r="M15" s="70"/>
      <c r="N15" s="257"/>
      <c r="O15" s="257"/>
      <c r="P15" s="257"/>
      <c r="Q15" s="257"/>
      <c r="R15" s="257"/>
    </row>
    <row r="16" spans="2:18" x14ac:dyDescent="0.25">
      <c r="C16" s="194" t="s">
        <v>1356</v>
      </c>
      <c r="D16" s="195" t="s">
        <v>1273</v>
      </c>
      <c r="E16" s="63"/>
      <c r="F16" s="67" t="s">
        <v>1219</v>
      </c>
      <c r="G16" s="206"/>
      <c r="H16" s="208"/>
      <c r="I16" s="57"/>
      <c r="J16" s="57"/>
      <c r="K16" s="70"/>
      <c r="L16" s="70"/>
      <c r="M16" s="70"/>
      <c r="N16" s="257"/>
      <c r="O16" s="257"/>
      <c r="P16" s="257"/>
      <c r="Q16" s="257"/>
      <c r="R16" s="257"/>
    </row>
    <row r="17" spans="3:15" ht="6" customHeight="1" x14ac:dyDescent="0.25">
      <c r="E17" s="63"/>
      <c r="F17" s="73"/>
      <c r="G17" s="74"/>
      <c r="H17" s="75"/>
      <c r="I17" s="57"/>
      <c r="J17" s="57"/>
      <c r="K17" s="70"/>
      <c r="L17" s="70"/>
      <c r="M17" s="70"/>
    </row>
    <row r="18" spans="3:15" x14ac:dyDescent="0.25">
      <c r="C18" s="76" t="s">
        <v>1213</v>
      </c>
      <c r="D18" s="260" t="s">
        <v>1380</v>
      </c>
      <c r="E18" s="63"/>
      <c r="F18" s="193" t="s">
        <v>1220</v>
      </c>
      <c r="G18" s="206"/>
      <c r="H18" s="208"/>
      <c r="I18" s="57"/>
      <c r="J18" s="57"/>
      <c r="K18" s="70"/>
      <c r="L18" s="70"/>
      <c r="M18" s="70"/>
    </row>
    <row r="19" spans="3:15" s="63" customFormat="1" x14ac:dyDescent="0.25">
      <c r="C19" s="71"/>
      <c r="D19" s="261"/>
      <c r="F19" s="73"/>
      <c r="G19" s="74"/>
      <c r="H19" s="75"/>
      <c r="K19" s="192"/>
      <c r="L19" s="192"/>
      <c r="M19" s="192"/>
    </row>
    <row r="20" spans="3:15" s="63" customFormat="1" ht="6" customHeight="1" x14ac:dyDescent="0.25">
      <c r="C20" s="71"/>
      <c r="D20" s="196"/>
      <c r="F20" s="73"/>
      <c r="G20" s="74"/>
      <c r="H20" s="75"/>
      <c r="K20" s="192"/>
      <c r="L20" s="192"/>
      <c r="M20" s="192"/>
    </row>
    <row r="21" spans="3:15" s="63" customFormat="1" ht="19.5" thickBot="1" x14ac:dyDescent="0.35">
      <c r="C21" s="76" t="s">
        <v>1357</v>
      </c>
      <c r="D21" s="260" t="s">
        <v>1390</v>
      </c>
      <c r="F21" s="243" t="s">
        <v>1376</v>
      </c>
      <c r="G21" s="244"/>
      <c r="H21" s="207">
        <v>27600000</v>
      </c>
      <c r="K21" s="192"/>
      <c r="L21" s="192"/>
      <c r="M21" s="192"/>
    </row>
    <row r="22" spans="3:15" s="63" customFormat="1" ht="19.5" thickBot="1" x14ac:dyDescent="0.35">
      <c r="C22" s="71"/>
      <c r="D22" s="262"/>
      <c r="F22" s="245" t="s">
        <v>1377</v>
      </c>
      <c r="G22" s="246"/>
      <c r="H22" s="207">
        <v>0</v>
      </c>
      <c r="K22" s="192"/>
      <c r="L22" s="192"/>
      <c r="M22" s="192"/>
    </row>
    <row r="23" spans="3:15" ht="19.5" thickBot="1" x14ac:dyDescent="0.35">
      <c r="C23" s="63"/>
      <c r="D23" s="262"/>
      <c r="F23" s="245" t="s">
        <v>1384</v>
      </c>
      <c r="G23" s="246"/>
      <c r="H23" s="205">
        <f>Tot_Kwt</f>
        <v>325000</v>
      </c>
      <c r="K23" s="70"/>
      <c r="L23" s="70"/>
      <c r="M23" s="70"/>
    </row>
    <row r="24" spans="3:15" ht="19.5" thickBot="1" x14ac:dyDescent="0.35">
      <c r="D24" s="261"/>
      <c r="E24" s="191"/>
      <c r="F24" s="247" t="s">
        <v>1354</v>
      </c>
      <c r="G24" s="248"/>
      <c r="H24" s="211">
        <f>Pagu_KWT-Real_Pagu-Real_KWT</f>
        <v>27275000</v>
      </c>
      <c r="K24" s="70"/>
      <c r="L24" s="70"/>
      <c r="M24" s="70"/>
    </row>
    <row r="25" spans="3:15" ht="15.75" thickTop="1" x14ac:dyDescent="0.25"/>
    <row r="26" spans="3:15" ht="20.100000000000001" customHeight="1" thickBot="1" x14ac:dyDescent="0.35">
      <c r="C26" s="258" t="s">
        <v>1242</v>
      </c>
      <c r="D26" s="259"/>
    </row>
    <row r="27" spans="3:15" ht="7.5" customHeight="1" thickTop="1" x14ac:dyDescent="0.25">
      <c r="C27" s="65"/>
    </row>
    <row r="28" spans="3:15" ht="29.25" customHeight="1" x14ac:dyDescent="0.25">
      <c r="C28" s="78" t="s">
        <v>1214</v>
      </c>
      <c r="D28" s="239"/>
      <c r="E28" s="240"/>
      <c r="F28" s="240"/>
      <c r="G28" s="240"/>
      <c r="H28" s="241"/>
      <c r="O28" s="213"/>
    </row>
    <row r="29" spans="3:15" ht="6" customHeight="1" x14ac:dyDescent="0.25">
      <c r="C29" s="65"/>
    </row>
    <row r="30" spans="3:15" ht="20.100000000000001" customHeight="1" x14ac:dyDescent="0.25">
      <c r="C30" s="78" t="s">
        <v>1221</v>
      </c>
      <c r="D30" s="79"/>
      <c r="E30" s="75"/>
      <c r="F30" s="78" t="s">
        <v>1215</v>
      </c>
      <c r="G30" s="210" t="str">
        <f>IFERROR(INDEX(Master_Barang[SATUAN],MATCH(D28,Master_Barang[NAMA BARANG],0)),"")</f>
        <v/>
      </c>
    </row>
    <row r="31" spans="3:15" ht="6" customHeight="1" x14ac:dyDescent="0.25">
      <c r="C31" s="61"/>
      <c r="D31" s="80">
        <v>3</v>
      </c>
      <c r="E31" s="80"/>
      <c r="G31" s="65"/>
    </row>
    <row r="32" spans="3:15" ht="20.100000000000001" customHeight="1" x14ac:dyDescent="0.25">
      <c r="C32" s="78" t="s">
        <v>377</v>
      </c>
      <c r="D32" s="209" t="str">
        <f>IFERROR(INDEX(Master_Barang[H. SATUAN],MATCH(D28,Master_Barang[NAMA BARANG],0)),"")</f>
        <v/>
      </c>
      <c r="F32" s="81" t="s">
        <v>1225</v>
      </c>
      <c r="G32" s="209" t="str">
        <f>IFERROR(D30*D32,"")</f>
        <v/>
      </c>
    </row>
    <row r="33" spans="3:8" ht="9.75" customHeight="1" x14ac:dyDescent="0.25">
      <c r="C33" s="73"/>
      <c r="D33" s="75"/>
      <c r="E33" s="63"/>
      <c r="F33" s="73"/>
      <c r="G33" s="75"/>
      <c r="H33" s="75"/>
    </row>
    <row r="34" spans="3:8" x14ac:dyDescent="0.25">
      <c r="C34" s="54" t="str">
        <f>"Jumlah Barang : "</f>
        <v xml:space="preserve">Jumlah Barang : </v>
      </c>
      <c r="D34" s="212">
        <f>COUNTA(Rincian_Brg[No])</f>
        <v>2</v>
      </c>
    </row>
    <row r="35" spans="3:8" ht="21" customHeight="1" x14ac:dyDescent="0.25">
      <c r="C35" s="82" t="s">
        <v>1238</v>
      </c>
      <c r="D35" s="82" t="s">
        <v>1214</v>
      </c>
      <c r="E35" s="82" t="s">
        <v>1215</v>
      </c>
      <c r="F35" s="82" t="s">
        <v>1221</v>
      </c>
      <c r="G35" s="82" t="s">
        <v>377</v>
      </c>
      <c r="H35" s="82" t="s">
        <v>378</v>
      </c>
    </row>
    <row r="36" spans="3:8" x14ac:dyDescent="0.25">
      <c r="C36" s="50">
        <v>1</v>
      </c>
      <c r="D36" s="51" t="s">
        <v>1236</v>
      </c>
      <c r="E36" s="50" t="s">
        <v>1361</v>
      </c>
      <c r="F36" s="50">
        <v>5</v>
      </c>
      <c r="G36" s="52">
        <v>25000</v>
      </c>
      <c r="H36" s="52">
        <v>125000</v>
      </c>
    </row>
    <row r="37" spans="3:8" x14ac:dyDescent="0.25">
      <c r="C37" s="214">
        <f>MAX($C$36:C36)+1</f>
        <v>2</v>
      </c>
      <c r="D37" s="51" t="s">
        <v>1270</v>
      </c>
      <c r="E37" s="50" t="s">
        <v>1360</v>
      </c>
      <c r="F37" s="50">
        <v>4</v>
      </c>
      <c r="G37" s="52">
        <v>50000</v>
      </c>
      <c r="H37" s="52">
        <v>200000</v>
      </c>
    </row>
  </sheetData>
  <mergeCells count="13">
    <mergeCell ref="H4:H6"/>
    <mergeCell ref="G4:G6"/>
    <mergeCell ref="D12:D14"/>
    <mergeCell ref="N8:R16"/>
    <mergeCell ref="C26:D26"/>
    <mergeCell ref="D18:D19"/>
    <mergeCell ref="D21:D24"/>
    <mergeCell ref="D28:H28"/>
    <mergeCell ref="F8:H8"/>
    <mergeCell ref="F21:G21"/>
    <mergeCell ref="F22:G22"/>
    <mergeCell ref="F23:G23"/>
    <mergeCell ref="F24:G24"/>
  </mergeCells>
  <phoneticPr fontId="5" type="noConversion"/>
  <conditionalFormatting sqref="C36:H37">
    <cfRule type="expression" dxfId="47" priority="1">
      <formula>$B$1=ROW()</formula>
    </cfRule>
  </conditionalFormatting>
  <dataValidations count="2">
    <dataValidation type="list" allowBlank="1" showInputMessage="1" showErrorMessage="1" sqref="D28" xr:uid="{3EF12923-EAAE-4FC0-AC3A-1CB4BEA7D592}">
      <formula1>INDIRECT("master_barang[nama barang]")</formula1>
    </dataValidation>
    <dataValidation type="list" allowBlank="1" showInputMessage="1" showErrorMessage="1" sqref="D16" xr:uid="{82276DFB-CC08-4270-81B2-CEF3E3615FFB}">
      <formula1>INDIRECT("master_supplier[nama perusahaan]")</formula1>
    </dataValidation>
  </dataValidations>
  <pageMargins left="0.7" right="0.7" top="0.75" bottom="0.75" header="0.3" footer="0.3"/>
  <pageSetup paperSize="9" scale="88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080" r:id="rId4" name="cmdTambah">
          <controlPr defaultSize="0" disabled="1" autoLine="0" r:id="rId5">
            <anchor moveWithCells="1">
              <from>
                <xdr:col>8</xdr:col>
                <xdr:colOff>133350</xdr:colOff>
                <xdr:row>3</xdr:row>
                <xdr:rowOff>76200</xdr:rowOff>
              </from>
              <to>
                <xdr:col>9</xdr:col>
                <xdr:colOff>390525</xdr:colOff>
                <xdr:row>5</xdr:row>
                <xdr:rowOff>95250</xdr:rowOff>
              </to>
            </anchor>
          </controlPr>
        </control>
      </mc:Choice>
      <mc:Fallback>
        <control shapeId="2080" r:id="rId4" name="cmdTambah"/>
      </mc:Fallback>
    </mc:AlternateContent>
    <mc:AlternateContent xmlns:mc="http://schemas.openxmlformats.org/markup-compatibility/2006">
      <mc:Choice Requires="x14">
        <control shapeId="2072" r:id="rId6" name="cmdSimpan">
          <controlPr defaultSize="0" autoLine="0" r:id="rId7">
            <anchor moveWithCells="1">
              <from>
                <xdr:col>8</xdr:col>
                <xdr:colOff>133350</xdr:colOff>
                <xdr:row>6</xdr:row>
                <xdr:rowOff>0</xdr:rowOff>
              </from>
              <to>
                <xdr:col>9</xdr:col>
                <xdr:colOff>390525</xdr:colOff>
                <xdr:row>8</xdr:row>
                <xdr:rowOff>19050</xdr:rowOff>
              </to>
            </anchor>
          </controlPr>
        </control>
      </mc:Choice>
      <mc:Fallback>
        <control shapeId="2072" r:id="rId6" name="cmdSimpan"/>
      </mc:Fallback>
    </mc:AlternateContent>
    <mc:AlternateContent xmlns:mc="http://schemas.openxmlformats.org/markup-compatibility/2006">
      <mc:Choice Requires="x14">
        <control shapeId="2070" r:id="rId8" name="cmdAkun">
          <controlPr defaultSize="0" autoLine="0" r:id="rId9">
            <anchor moveWithCells="1">
              <from>
                <xdr:col>4</xdr:col>
                <xdr:colOff>57150</xdr:colOff>
                <xdr:row>6</xdr:row>
                <xdr:rowOff>57150</xdr:rowOff>
              </from>
              <to>
                <xdr:col>4</xdr:col>
                <xdr:colOff>428625</xdr:colOff>
                <xdr:row>8</xdr:row>
                <xdr:rowOff>28575</xdr:rowOff>
              </to>
            </anchor>
          </controlPr>
        </control>
      </mc:Choice>
      <mc:Fallback>
        <control shapeId="2070" r:id="rId8" name="cmdAkun"/>
      </mc:Fallback>
    </mc:AlternateContent>
    <mc:AlternateContent xmlns:mc="http://schemas.openxmlformats.org/markup-compatibility/2006">
      <mc:Choice Requires="x14">
        <control shapeId="2053" r:id="rId10" name="cmdHapus">
          <controlPr defaultSize="0" autoLine="0" r:id="rId11">
            <anchor moveWithCells="1">
              <from>
                <xdr:col>8</xdr:col>
                <xdr:colOff>133350</xdr:colOff>
                <xdr:row>33</xdr:row>
                <xdr:rowOff>142875</xdr:rowOff>
              </from>
              <to>
                <xdr:col>9</xdr:col>
                <xdr:colOff>390525</xdr:colOff>
                <xdr:row>34</xdr:row>
                <xdr:rowOff>247650</xdr:rowOff>
              </to>
            </anchor>
          </controlPr>
        </control>
      </mc:Choice>
      <mc:Fallback>
        <control shapeId="2053" r:id="rId10" name="cmdHapus"/>
      </mc:Fallback>
    </mc:AlternateContent>
    <mc:AlternateContent xmlns:mc="http://schemas.openxmlformats.org/markup-compatibility/2006">
      <mc:Choice Requires="x14">
        <control shapeId="2051" r:id="rId12" name="cmdDaftar">
          <controlPr defaultSize="0" autoLine="0" r:id="rId13">
            <anchor moveWithCells="1">
              <from>
                <xdr:col>7</xdr:col>
                <xdr:colOff>123825</xdr:colOff>
                <xdr:row>30</xdr:row>
                <xdr:rowOff>47625</xdr:rowOff>
              </from>
              <to>
                <xdr:col>7</xdr:col>
                <xdr:colOff>1333500</xdr:colOff>
                <xdr:row>32</xdr:row>
                <xdr:rowOff>19050</xdr:rowOff>
              </to>
            </anchor>
          </controlPr>
        </control>
      </mc:Choice>
      <mc:Fallback>
        <control shapeId="2051" r:id="rId12" name="cmdDaftar"/>
      </mc:Fallback>
    </mc:AlternateContent>
    <mc:AlternateContent xmlns:mc="http://schemas.openxmlformats.org/markup-compatibility/2006">
      <mc:Choice Requires="x14">
        <control shapeId="2050" r:id="rId14" name="cmdBatal">
          <controlPr defaultSize="0" autoLine="0" r:id="rId15">
            <anchor moveWithCells="1">
              <from>
                <xdr:col>8</xdr:col>
                <xdr:colOff>133350</xdr:colOff>
                <xdr:row>9</xdr:row>
                <xdr:rowOff>38100</xdr:rowOff>
              </from>
              <to>
                <xdr:col>9</xdr:col>
                <xdr:colOff>390525</xdr:colOff>
                <xdr:row>11</xdr:row>
                <xdr:rowOff>66675</xdr:rowOff>
              </to>
            </anchor>
          </controlPr>
        </control>
      </mc:Choice>
      <mc:Fallback>
        <control shapeId="2050" r:id="rId14" name="cmdBatal"/>
      </mc:Fallback>
    </mc:AlternateContent>
    <mc:AlternateContent xmlns:mc="http://schemas.openxmlformats.org/markup-compatibility/2006">
      <mc:Choice Requires="x14">
        <control shapeId="2081" r:id="rId16" name="dtp_TglKWT">
          <controlPr defaultSize="0" autoLine="0" autoPict="0" r:id="rId17">
            <anchor moveWithCells="1">
              <from>
                <xdr:col>3</xdr:col>
                <xdr:colOff>47625</xdr:colOff>
                <xdr:row>4</xdr:row>
                <xdr:rowOff>76200</xdr:rowOff>
              </from>
              <to>
                <xdr:col>3</xdr:col>
                <xdr:colOff>1333500</xdr:colOff>
                <xdr:row>6</xdr:row>
                <xdr:rowOff>28575</xdr:rowOff>
              </to>
            </anchor>
          </controlPr>
        </control>
      </mc:Choice>
      <mc:Fallback>
        <control shapeId="2081" r:id="rId16" name="dtp_TglKWT"/>
      </mc:Fallback>
    </mc:AlternateContent>
    <mc:AlternateContent xmlns:mc="http://schemas.openxmlformats.org/markup-compatibility/2006">
      <mc:Choice Requires="x14">
        <control shapeId="2090" r:id="rId18" name="cmdEditBrg">
          <controlPr defaultSize="0" autoLine="0" r:id="rId19">
            <anchor moveWithCells="1">
              <from>
                <xdr:col>8</xdr:col>
                <xdr:colOff>133350</xdr:colOff>
                <xdr:row>35</xdr:row>
                <xdr:rowOff>38100</xdr:rowOff>
              </from>
              <to>
                <xdr:col>9</xdr:col>
                <xdr:colOff>390525</xdr:colOff>
                <xdr:row>36</xdr:row>
                <xdr:rowOff>142875</xdr:rowOff>
              </to>
            </anchor>
          </controlPr>
        </control>
      </mc:Choice>
      <mc:Fallback>
        <control shapeId="2090" r:id="rId18" name="cmdEditBrg"/>
      </mc:Fallback>
    </mc:AlternateContent>
  </controls>
  <tableParts count="1"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51036-1962-4ECC-9D43-B297C36C4BE4}">
  <sheetPr codeName="sh_rptKWT">
    <tabColor rgb="FFFFFF00"/>
    <pageSetUpPr fitToPage="1"/>
  </sheetPr>
  <dimension ref="A1:Q58"/>
  <sheetViews>
    <sheetView showGridLines="0" view="pageBreakPreview" topLeftCell="D13" zoomScaleNormal="100" zoomScaleSheetLayoutView="100" workbookViewId="0">
      <selection activeCell="H18" sqref="H18:Q19"/>
    </sheetView>
  </sheetViews>
  <sheetFormatPr defaultRowHeight="14.25" x14ac:dyDescent="0.2"/>
  <cols>
    <col min="1" max="3" width="0" style="87" hidden="1" customWidth="1"/>
    <col min="4" max="4" width="3.7109375" style="87" customWidth="1"/>
    <col min="5" max="6" width="9.140625" style="88"/>
    <col min="7" max="7" width="2.28515625" style="88" customWidth="1"/>
    <col min="8" max="8" width="6.42578125" style="88" customWidth="1"/>
    <col min="9" max="9" width="11.140625" style="88" customWidth="1"/>
    <col min="10" max="10" width="2.140625" style="88" customWidth="1"/>
    <col min="11" max="11" width="12.85546875" style="88" customWidth="1"/>
    <col min="12" max="12" width="11.140625" style="88" customWidth="1"/>
    <col min="13" max="13" width="7.5703125" style="87" bestFit="1" customWidth="1"/>
    <col min="14" max="14" width="2.5703125" style="87" customWidth="1"/>
    <col min="15" max="15" width="9" style="88" customWidth="1"/>
    <col min="16" max="16" width="6.28515625" style="88" customWidth="1"/>
    <col min="17" max="17" width="16.42578125" style="88" customWidth="1"/>
    <col min="18" max="18" width="3.140625" style="88" customWidth="1"/>
    <col min="19" max="16384" width="9.140625" style="88"/>
  </cols>
  <sheetData>
    <row r="1" spans="5:17" ht="15" thickBot="1" x14ac:dyDescent="0.25"/>
    <row r="2" spans="5:17" ht="15" thickTop="1" x14ac:dyDescent="0.2">
      <c r="E2" s="108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10"/>
    </row>
    <row r="3" spans="5:17" x14ac:dyDescent="0.2">
      <c r="E3" s="130"/>
      <c r="F3" s="131"/>
      <c r="G3" s="131"/>
      <c r="H3" s="131"/>
      <c r="I3" s="131"/>
      <c r="J3" s="131"/>
      <c r="K3" s="131"/>
      <c r="L3" s="138" t="s">
        <v>1316</v>
      </c>
      <c r="N3" s="87" t="s">
        <v>1286</v>
      </c>
      <c r="O3" s="113">
        <f>'Setting Aplikasi'!$D$6</f>
        <v>2020</v>
      </c>
      <c r="P3" s="131"/>
      <c r="Q3" s="132"/>
    </row>
    <row r="4" spans="5:17" ht="15" x14ac:dyDescent="0.2">
      <c r="E4" s="133"/>
      <c r="F4" s="134"/>
      <c r="G4" s="134"/>
      <c r="H4" s="134"/>
      <c r="I4" s="134"/>
      <c r="J4" s="134"/>
      <c r="K4" s="134"/>
      <c r="L4" s="138" t="s">
        <v>1209</v>
      </c>
      <c r="M4" s="88"/>
      <c r="N4" s="88" t="s">
        <v>1286</v>
      </c>
      <c r="O4" s="145" t="s">
        <v>1387</v>
      </c>
      <c r="P4" s="134"/>
      <c r="Q4" s="135"/>
    </row>
    <row r="5" spans="5:17" ht="15" x14ac:dyDescent="0.2">
      <c r="E5" s="133"/>
      <c r="F5" s="134"/>
      <c r="G5" s="134"/>
      <c r="H5" s="134"/>
      <c r="I5" s="134"/>
      <c r="J5" s="134"/>
      <c r="K5" s="134"/>
      <c r="L5" s="138" t="s">
        <v>1322</v>
      </c>
      <c r="M5" s="134"/>
      <c r="N5" s="134" t="s">
        <v>1286</v>
      </c>
      <c r="O5" s="145" t="s">
        <v>694</v>
      </c>
      <c r="P5" s="134"/>
      <c r="Q5" s="135"/>
    </row>
    <row r="6" spans="5:17" ht="15" x14ac:dyDescent="0.2">
      <c r="E6" s="133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5"/>
    </row>
    <row r="7" spans="5:17" ht="15" x14ac:dyDescent="0.2">
      <c r="E7" s="133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5"/>
    </row>
    <row r="8" spans="5:17" x14ac:dyDescent="0.2">
      <c r="E8" s="89"/>
      <c r="F8" s="87"/>
      <c r="G8" s="87"/>
      <c r="H8" s="87"/>
      <c r="I8" s="87"/>
      <c r="J8" s="87"/>
      <c r="K8" s="87"/>
      <c r="L8" s="87"/>
      <c r="O8" s="87"/>
      <c r="P8" s="87"/>
      <c r="Q8" s="90"/>
    </row>
    <row r="9" spans="5:17" ht="15.75" x14ac:dyDescent="0.25">
      <c r="E9" s="263" t="s">
        <v>1307</v>
      </c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5"/>
    </row>
    <row r="10" spans="5:17" x14ac:dyDescent="0.2">
      <c r="E10" s="89"/>
      <c r="I10" s="91"/>
      <c r="J10" s="266"/>
      <c r="K10" s="266"/>
      <c r="L10" s="118"/>
      <c r="M10" s="91"/>
      <c r="N10" s="92"/>
      <c r="P10" s="87"/>
      <c r="Q10" s="90"/>
    </row>
    <row r="11" spans="5:17" x14ac:dyDescent="0.2">
      <c r="E11" s="89"/>
      <c r="F11" s="87"/>
      <c r="G11" s="87"/>
      <c r="H11" s="87"/>
      <c r="I11" s="87"/>
      <c r="J11" s="87"/>
      <c r="K11" s="87"/>
      <c r="L11" s="87"/>
      <c r="O11" s="87"/>
      <c r="P11" s="87"/>
      <c r="Q11" s="90"/>
    </row>
    <row r="12" spans="5:17" x14ac:dyDescent="0.2">
      <c r="E12" s="103" t="s">
        <v>1308</v>
      </c>
      <c r="F12" s="101"/>
      <c r="G12" s="101" t="s">
        <v>1286</v>
      </c>
      <c r="H12" s="102" t="s">
        <v>1309</v>
      </c>
      <c r="I12" s="87"/>
      <c r="J12" s="87"/>
      <c r="K12" s="87"/>
      <c r="L12" s="87"/>
      <c r="O12" s="87"/>
      <c r="P12" s="87"/>
      <c r="Q12" s="90"/>
    </row>
    <row r="13" spans="5:17" ht="14.25" customHeight="1" x14ac:dyDescent="0.2">
      <c r="E13" s="103"/>
      <c r="F13" s="101"/>
      <c r="G13" s="101"/>
      <c r="H13" s="111" t="s">
        <v>1310</v>
      </c>
      <c r="I13" s="102" t="str">
        <f>'Setting Aplikasi'!$D$10</f>
        <v>Sekretariat Badan Riset dan SDM KP</v>
      </c>
      <c r="J13" s="111"/>
      <c r="K13" s="111"/>
      <c r="L13" s="111"/>
      <c r="M13" s="111"/>
      <c r="N13" s="111"/>
      <c r="O13" s="111"/>
      <c r="P13" s="111"/>
      <c r="Q13" s="112"/>
    </row>
    <row r="14" spans="5:17" x14ac:dyDescent="0.2">
      <c r="E14" s="89"/>
      <c r="F14" s="87"/>
      <c r="G14" s="87"/>
      <c r="H14" s="171" t="str">
        <f>"("&amp;'Setting Aplikasi'!$D$8&amp;")"</f>
        <v>(626402)</v>
      </c>
      <c r="I14" s="111"/>
      <c r="J14" s="111"/>
      <c r="K14" s="111"/>
      <c r="L14" s="111"/>
      <c r="M14" s="111"/>
      <c r="N14" s="111"/>
      <c r="O14" s="111"/>
      <c r="P14" s="111"/>
      <c r="Q14" s="112"/>
    </row>
    <row r="15" spans="5:17" x14ac:dyDescent="0.2">
      <c r="E15" s="89"/>
      <c r="F15" s="87"/>
      <c r="G15" s="87"/>
      <c r="H15" s="136"/>
      <c r="I15" s="111"/>
      <c r="J15" s="111"/>
      <c r="K15" s="111"/>
      <c r="L15" s="111"/>
      <c r="M15" s="111"/>
      <c r="N15" s="111"/>
      <c r="O15" s="111"/>
      <c r="P15" s="111"/>
      <c r="Q15" s="112"/>
    </row>
    <row r="16" spans="5:17" x14ac:dyDescent="0.2">
      <c r="E16" s="130"/>
      <c r="F16" s="131"/>
      <c r="G16" s="131"/>
      <c r="H16" s="131"/>
      <c r="I16" s="131"/>
      <c r="J16" s="131"/>
      <c r="K16" s="131"/>
      <c r="L16" s="131"/>
      <c r="O16" s="87"/>
      <c r="P16" s="87"/>
      <c r="Q16" s="90"/>
    </row>
    <row r="17" spans="5:17" x14ac:dyDescent="0.2">
      <c r="E17" s="103" t="s">
        <v>1312</v>
      </c>
      <c r="F17" s="101"/>
      <c r="G17" s="101" t="s">
        <v>1286</v>
      </c>
      <c r="H17" s="102" t="s">
        <v>1313</v>
      </c>
      <c r="I17" s="273">
        <v>24000</v>
      </c>
      <c r="J17" s="273"/>
      <c r="K17" s="273"/>
      <c r="L17" s="87"/>
      <c r="O17" s="87"/>
      <c r="P17" s="87"/>
      <c r="Q17" s="90"/>
    </row>
    <row r="18" spans="5:17" ht="14.25" customHeight="1" x14ac:dyDescent="0.2">
      <c r="E18" s="103" t="s">
        <v>1314</v>
      </c>
      <c r="F18" s="102"/>
      <c r="G18" s="102" t="s">
        <v>1286</v>
      </c>
      <c r="H18" s="269" t="str" cm="1">
        <f t="array" ref="H18">"(*** "&amp;PROPER(Terbilang_huruf(jml_KWT)) &amp;" Rupiah"&amp;" ***)"</f>
        <v>(***  Dua Puluh Empat Ribu Rupiah ***)</v>
      </c>
      <c r="I18" s="269"/>
      <c r="J18" s="269"/>
      <c r="K18" s="269"/>
      <c r="L18" s="269"/>
      <c r="M18" s="269"/>
      <c r="N18" s="269"/>
      <c r="O18" s="269"/>
      <c r="P18" s="269"/>
      <c r="Q18" s="270"/>
    </row>
    <row r="19" spans="5:17" x14ac:dyDescent="0.2">
      <c r="E19" s="126"/>
      <c r="F19" s="127"/>
      <c r="G19" s="127"/>
      <c r="H19" s="269"/>
      <c r="I19" s="269"/>
      <c r="J19" s="269"/>
      <c r="K19" s="269"/>
      <c r="L19" s="269"/>
      <c r="M19" s="269"/>
      <c r="N19" s="269"/>
      <c r="O19" s="269"/>
      <c r="P19" s="269"/>
      <c r="Q19" s="270"/>
    </row>
    <row r="20" spans="5:17" ht="14.25" customHeight="1" x14ac:dyDescent="0.2">
      <c r="E20" s="103" t="s">
        <v>1287</v>
      </c>
      <c r="F20" s="101"/>
      <c r="G20" s="101" t="s">
        <v>1286</v>
      </c>
      <c r="H20" s="267" t="s">
        <v>1388</v>
      </c>
      <c r="I20" s="267"/>
      <c r="J20" s="267"/>
      <c r="K20" s="267"/>
      <c r="L20" s="267"/>
      <c r="M20" s="267"/>
      <c r="N20" s="267"/>
      <c r="O20" s="267"/>
      <c r="P20" s="267"/>
      <c r="Q20" s="268"/>
    </row>
    <row r="21" spans="5:17" x14ac:dyDescent="0.2">
      <c r="E21" s="89"/>
      <c r="F21" s="87"/>
      <c r="G21" s="87"/>
      <c r="H21" s="267"/>
      <c r="I21" s="267"/>
      <c r="J21" s="267"/>
      <c r="K21" s="267"/>
      <c r="L21" s="267"/>
      <c r="M21" s="267"/>
      <c r="N21" s="267"/>
      <c r="O21" s="267"/>
      <c r="P21" s="267"/>
      <c r="Q21" s="268"/>
    </row>
    <row r="22" spans="5:17" x14ac:dyDescent="0.2">
      <c r="E22" s="89"/>
      <c r="F22" s="87"/>
      <c r="G22" s="87"/>
      <c r="H22" s="267"/>
      <c r="I22" s="267"/>
      <c r="J22" s="267"/>
      <c r="K22" s="267"/>
      <c r="L22" s="267"/>
      <c r="M22" s="267"/>
      <c r="N22" s="267"/>
      <c r="O22" s="267"/>
      <c r="P22" s="267"/>
      <c r="Q22" s="268"/>
    </row>
    <row r="23" spans="5:17" x14ac:dyDescent="0.2">
      <c r="E23" s="89"/>
      <c r="F23" s="87"/>
      <c r="G23" s="87"/>
      <c r="H23" s="267"/>
      <c r="I23" s="267"/>
      <c r="J23" s="267"/>
      <c r="K23" s="267"/>
      <c r="L23" s="267"/>
      <c r="M23" s="267"/>
      <c r="N23" s="267"/>
      <c r="O23" s="267"/>
      <c r="P23" s="267"/>
      <c r="Q23" s="268"/>
    </row>
    <row r="24" spans="5:17" x14ac:dyDescent="0.2">
      <c r="E24" s="89"/>
      <c r="F24" s="87"/>
      <c r="G24" s="87"/>
      <c r="H24" s="267"/>
      <c r="I24" s="267"/>
      <c r="J24" s="267"/>
      <c r="K24" s="267"/>
      <c r="L24" s="267"/>
      <c r="M24" s="267"/>
      <c r="N24" s="267"/>
      <c r="O24" s="267"/>
      <c r="P24" s="267"/>
      <c r="Q24" s="268"/>
    </row>
    <row r="25" spans="5:17" x14ac:dyDescent="0.2">
      <c r="E25" s="89"/>
      <c r="F25" s="87"/>
      <c r="G25" s="87"/>
      <c r="H25" s="111"/>
      <c r="I25" s="111"/>
      <c r="J25" s="111"/>
      <c r="K25" s="111"/>
      <c r="L25" s="111"/>
      <c r="M25" s="111"/>
      <c r="N25" s="111"/>
      <c r="O25" s="111"/>
      <c r="P25" s="111"/>
      <c r="Q25" s="112"/>
    </row>
    <row r="26" spans="5:17" x14ac:dyDescent="0.2">
      <c r="E26" s="89"/>
      <c r="F26" s="87"/>
      <c r="G26" s="87"/>
      <c r="H26" s="87"/>
      <c r="I26" s="87"/>
      <c r="J26" s="87"/>
      <c r="K26" s="87"/>
      <c r="L26" s="87"/>
      <c r="N26" s="88"/>
      <c r="O26" s="138" t="s">
        <v>1317</v>
      </c>
      <c r="P26" s="271" t="s">
        <v>1373</v>
      </c>
      <c r="Q26" s="272"/>
    </row>
    <row r="27" spans="5:17" x14ac:dyDescent="0.2">
      <c r="E27" s="137"/>
      <c r="F27" s="138"/>
      <c r="G27" s="138"/>
      <c r="H27" s="138"/>
      <c r="I27" s="138"/>
      <c r="J27" s="138"/>
      <c r="K27" s="138"/>
      <c r="L27" s="138"/>
      <c r="M27" s="88"/>
      <c r="N27" s="88"/>
      <c r="O27" s="138" t="s">
        <v>1273</v>
      </c>
      <c r="P27" s="138"/>
      <c r="Q27" s="139"/>
    </row>
    <row r="28" spans="5:17" x14ac:dyDescent="0.2">
      <c r="E28" s="137"/>
      <c r="F28" s="138"/>
      <c r="G28" s="138"/>
      <c r="H28" s="138"/>
      <c r="I28" s="138"/>
      <c r="J28" s="138"/>
      <c r="K28" s="138"/>
      <c r="L28" s="138"/>
      <c r="M28" s="88"/>
      <c r="N28" s="88"/>
      <c r="O28" s="138"/>
      <c r="P28" s="138"/>
      <c r="Q28" s="139"/>
    </row>
    <row r="29" spans="5:17" x14ac:dyDescent="0.2">
      <c r="E29" s="137"/>
      <c r="F29" s="138"/>
      <c r="G29" s="138"/>
      <c r="H29" s="138"/>
      <c r="I29" s="138"/>
      <c r="J29" s="138"/>
      <c r="K29" s="138"/>
      <c r="L29" s="138"/>
      <c r="M29" s="88"/>
      <c r="N29" s="88"/>
      <c r="O29" s="138"/>
      <c r="P29" s="138"/>
      <c r="Q29" s="139"/>
    </row>
    <row r="30" spans="5:17" x14ac:dyDescent="0.2">
      <c r="E30" s="137"/>
      <c r="F30" s="138"/>
      <c r="G30" s="138"/>
      <c r="H30" s="138"/>
      <c r="I30" s="138"/>
      <c r="J30" s="138"/>
      <c r="K30" s="138"/>
      <c r="L30" s="138"/>
      <c r="M30" s="88"/>
      <c r="N30" s="88"/>
      <c r="O30" s="138"/>
      <c r="P30" s="138"/>
      <c r="Q30" s="139"/>
    </row>
    <row r="31" spans="5:17" x14ac:dyDescent="0.2">
      <c r="E31" s="137"/>
      <c r="F31" s="138"/>
      <c r="G31" s="138"/>
      <c r="H31" s="138"/>
      <c r="I31" s="138"/>
      <c r="J31" s="138"/>
      <c r="K31" s="138"/>
      <c r="L31" s="138"/>
      <c r="M31" s="88"/>
      <c r="N31" s="88"/>
      <c r="O31" s="138"/>
      <c r="P31" s="138"/>
      <c r="Q31" s="139"/>
    </row>
    <row r="32" spans="5:17" x14ac:dyDescent="0.2">
      <c r="E32" s="137"/>
      <c r="F32" s="138"/>
      <c r="G32" s="138"/>
      <c r="H32" s="138"/>
      <c r="I32" s="138"/>
      <c r="J32" s="138"/>
      <c r="K32" s="138"/>
      <c r="L32" s="138"/>
      <c r="M32" s="88"/>
      <c r="N32" s="88"/>
      <c r="O32" s="146" t="s">
        <v>1374</v>
      </c>
      <c r="P32" s="138"/>
      <c r="Q32" s="139"/>
    </row>
    <row r="33" spans="5:17" x14ac:dyDescent="0.2">
      <c r="E33" s="137"/>
      <c r="F33" s="138"/>
      <c r="G33" s="138"/>
      <c r="H33" s="138"/>
      <c r="I33" s="138"/>
      <c r="J33" s="138"/>
      <c r="K33" s="138"/>
      <c r="L33" s="138"/>
      <c r="M33" s="88"/>
      <c r="N33" s="138"/>
      <c r="O33" s="138"/>
      <c r="P33" s="138"/>
      <c r="Q33" s="139"/>
    </row>
    <row r="34" spans="5:17" x14ac:dyDescent="0.2">
      <c r="E34" s="140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2"/>
    </row>
    <row r="35" spans="5:17" x14ac:dyDescent="0.2">
      <c r="E35" s="137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9"/>
    </row>
    <row r="36" spans="5:17" x14ac:dyDescent="0.2">
      <c r="E36" s="100" t="s">
        <v>1318</v>
      </c>
      <c r="F36" s="101"/>
      <c r="G36" s="101"/>
      <c r="H36" s="101"/>
      <c r="I36" s="115"/>
      <c r="J36" s="101"/>
      <c r="K36" s="101"/>
      <c r="L36" s="125"/>
      <c r="M36" s="125"/>
      <c r="N36" s="88"/>
      <c r="O36" s="101" t="s">
        <v>1319</v>
      </c>
      <c r="P36" s="101"/>
      <c r="Q36" s="116" t="s">
        <v>1375</v>
      </c>
    </row>
    <row r="37" spans="5:17" x14ac:dyDescent="0.2">
      <c r="E37" s="100" t="s">
        <v>1303</v>
      </c>
      <c r="F37" s="101"/>
      <c r="G37" s="101"/>
      <c r="H37" s="101"/>
      <c r="I37" s="101"/>
      <c r="J37" s="101"/>
      <c r="K37" s="101"/>
      <c r="L37" s="101"/>
      <c r="M37" s="88"/>
      <c r="N37" s="88"/>
      <c r="O37" s="267" t="s">
        <v>1326</v>
      </c>
      <c r="P37" s="267"/>
      <c r="Q37" s="268"/>
    </row>
    <row r="38" spans="5:17" x14ac:dyDescent="0.2">
      <c r="E38" s="100" t="s">
        <v>1328</v>
      </c>
      <c r="F38" s="101"/>
      <c r="G38" s="101"/>
      <c r="H38" s="101"/>
      <c r="I38" s="101"/>
      <c r="J38" s="101"/>
      <c r="K38" s="101"/>
      <c r="L38" s="101"/>
      <c r="M38" s="101"/>
      <c r="N38" s="88"/>
      <c r="O38" s="101" t="s">
        <v>1327</v>
      </c>
      <c r="P38" s="101"/>
      <c r="Q38" s="104"/>
    </row>
    <row r="39" spans="5:17" x14ac:dyDescent="0.2">
      <c r="E39" s="100"/>
      <c r="F39" s="101"/>
      <c r="G39" s="101"/>
      <c r="H39" s="101"/>
      <c r="I39" s="101"/>
      <c r="J39" s="101"/>
      <c r="K39" s="101"/>
      <c r="L39" s="101"/>
      <c r="M39" s="101"/>
      <c r="N39" s="88"/>
      <c r="O39" s="101"/>
      <c r="P39" s="101"/>
      <c r="Q39" s="104"/>
    </row>
    <row r="40" spans="5:17" x14ac:dyDescent="0.2">
      <c r="E40" s="100"/>
      <c r="F40" s="101"/>
      <c r="G40" s="101"/>
      <c r="H40" s="101"/>
      <c r="I40" s="101"/>
      <c r="J40" s="101"/>
      <c r="K40" s="101"/>
      <c r="L40" s="101"/>
      <c r="M40" s="101"/>
      <c r="N40" s="88"/>
      <c r="O40" s="101"/>
      <c r="P40" s="101"/>
      <c r="Q40" s="104"/>
    </row>
    <row r="41" spans="5:17" x14ac:dyDescent="0.2">
      <c r="E41" s="100"/>
      <c r="F41" s="101"/>
      <c r="G41" s="101"/>
      <c r="H41" s="101"/>
      <c r="I41" s="101"/>
      <c r="J41" s="101"/>
      <c r="K41" s="101"/>
      <c r="L41" s="101"/>
      <c r="M41" s="101"/>
      <c r="N41" s="88"/>
      <c r="O41" s="101"/>
      <c r="P41" s="101"/>
      <c r="Q41" s="104"/>
    </row>
    <row r="42" spans="5:17" x14ac:dyDescent="0.2">
      <c r="E42" s="100"/>
      <c r="F42" s="101"/>
      <c r="G42" s="101"/>
      <c r="H42" s="101"/>
      <c r="I42" s="101"/>
      <c r="J42" s="101"/>
      <c r="K42" s="101"/>
      <c r="L42" s="101"/>
      <c r="M42" s="101"/>
      <c r="N42" s="88"/>
      <c r="O42" s="101"/>
      <c r="P42" s="101"/>
      <c r="Q42" s="104"/>
    </row>
    <row r="43" spans="5:17" s="87" customFormat="1" x14ac:dyDescent="0.2">
      <c r="E43" s="100"/>
      <c r="F43" s="101"/>
      <c r="G43" s="101"/>
      <c r="H43" s="101"/>
      <c r="I43" s="101"/>
      <c r="J43" s="101"/>
      <c r="K43" s="101"/>
      <c r="L43" s="101"/>
      <c r="M43" s="101"/>
      <c r="O43" s="101"/>
      <c r="P43" s="101"/>
      <c r="Q43" s="104"/>
    </row>
    <row r="44" spans="5:17" s="87" customFormat="1" x14ac:dyDescent="0.2">
      <c r="E44" s="149" t="str">
        <f>'Setting Aplikasi'!$I$14</f>
        <v>Dr. Bambang Suprakto, A.Pi, S.Pi, M.T.</v>
      </c>
      <c r="F44" s="101"/>
      <c r="G44" s="101"/>
      <c r="H44" s="101"/>
      <c r="I44" s="101"/>
      <c r="J44" s="101"/>
      <c r="K44" s="101"/>
      <c r="L44" s="101"/>
      <c r="O44" s="150" t="str">
        <f>'Setting Aplikasi'!$D$20</f>
        <v>Sri Sulistiyawati, A.Md, SE</v>
      </c>
      <c r="P44" s="101"/>
      <c r="Q44" s="104"/>
    </row>
    <row r="45" spans="5:17" s="87" customFormat="1" x14ac:dyDescent="0.2">
      <c r="E45" s="100" t="str">
        <f>"NIP. " &amp;'Setting Aplikasi'!$I$13</f>
        <v>NIP. 19630602 198802 1 001</v>
      </c>
      <c r="F45" s="101"/>
      <c r="G45" s="101"/>
      <c r="H45" s="101"/>
      <c r="I45" s="101"/>
      <c r="J45" s="101"/>
      <c r="K45" s="101"/>
      <c r="L45" s="101"/>
      <c r="O45" s="101" t="str">
        <f>"NIP. " &amp;'Setting Aplikasi'!$D$19</f>
        <v>NIP. 19820612 200901 2 004</v>
      </c>
      <c r="P45" s="101"/>
      <c r="Q45" s="104"/>
    </row>
    <row r="46" spans="5:17" s="87" customFormat="1" x14ac:dyDescent="0.2">
      <c r="E46" s="129"/>
      <c r="F46" s="144"/>
      <c r="G46" s="144"/>
      <c r="H46" s="144"/>
      <c r="I46" s="144"/>
      <c r="J46" s="144"/>
      <c r="K46" s="144"/>
      <c r="L46" s="144"/>
      <c r="M46" s="95"/>
      <c r="N46" s="95"/>
      <c r="O46" s="95"/>
      <c r="P46" s="95"/>
      <c r="Q46" s="96"/>
    </row>
    <row r="47" spans="5:17" s="87" customFormat="1" x14ac:dyDescent="0.2">
      <c r="E47" s="89"/>
      <c r="F47" s="101"/>
      <c r="G47" s="101"/>
      <c r="H47" s="101"/>
      <c r="I47" s="101"/>
      <c r="J47" s="101"/>
      <c r="K47" s="101"/>
      <c r="L47" s="101"/>
      <c r="Q47" s="90"/>
    </row>
    <row r="48" spans="5:17" s="87" customFormat="1" x14ac:dyDescent="0.2">
      <c r="E48" s="100" t="s">
        <v>1320</v>
      </c>
      <c r="F48" s="101"/>
      <c r="G48" s="101"/>
      <c r="H48" s="101"/>
      <c r="I48" s="101"/>
      <c r="J48" s="101"/>
      <c r="K48" s="101"/>
      <c r="L48" s="101"/>
      <c r="Q48" s="90"/>
    </row>
    <row r="49" spans="5:17" s="87" customFormat="1" x14ac:dyDescent="0.2">
      <c r="E49" s="100" t="s">
        <v>1321</v>
      </c>
      <c r="F49" s="101"/>
      <c r="G49" s="101"/>
      <c r="H49" s="101"/>
      <c r="I49" s="101"/>
      <c r="J49" s="101"/>
      <c r="K49" s="101"/>
      <c r="L49" s="101"/>
      <c r="Q49" s="90"/>
    </row>
    <row r="50" spans="5:17" s="87" customFormat="1" x14ac:dyDescent="0.2">
      <c r="E50" s="100"/>
      <c r="F50" s="101"/>
      <c r="G50" s="101"/>
      <c r="H50" s="101"/>
      <c r="I50" s="101"/>
      <c r="J50" s="101"/>
      <c r="K50" s="101"/>
      <c r="L50" s="101"/>
      <c r="Q50" s="90"/>
    </row>
    <row r="51" spans="5:17" s="87" customFormat="1" x14ac:dyDescent="0.2">
      <c r="E51" s="100"/>
      <c r="F51" s="101"/>
      <c r="G51" s="101"/>
      <c r="H51" s="101"/>
      <c r="I51" s="101"/>
      <c r="J51" s="101"/>
      <c r="K51" s="101"/>
      <c r="L51" s="101"/>
      <c r="Q51" s="90"/>
    </row>
    <row r="52" spans="5:17" s="87" customFormat="1" x14ac:dyDescent="0.2">
      <c r="E52" s="100"/>
      <c r="F52" s="101"/>
      <c r="G52" s="101"/>
      <c r="H52" s="101"/>
      <c r="I52" s="101"/>
      <c r="J52" s="101"/>
      <c r="K52" s="101"/>
      <c r="L52" s="101"/>
      <c r="Q52" s="90"/>
    </row>
    <row r="53" spans="5:17" s="87" customFormat="1" x14ac:dyDescent="0.2">
      <c r="E53" s="100"/>
      <c r="F53" s="101"/>
      <c r="G53" s="101"/>
      <c r="H53" s="101"/>
      <c r="I53" s="101"/>
      <c r="J53" s="101"/>
      <c r="K53" s="101"/>
      <c r="L53" s="101"/>
      <c r="Q53" s="90"/>
    </row>
    <row r="54" spans="5:17" s="87" customFormat="1" x14ac:dyDescent="0.2">
      <c r="E54" s="100"/>
      <c r="F54" s="101"/>
      <c r="G54" s="101"/>
      <c r="H54" s="101"/>
      <c r="I54" s="101"/>
      <c r="J54" s="101"/>
      <c r="K54" s="101"/>
      <c r="L54" s="101"/>
      <c r="Q54" s="90"/>
    </row>
    <row r="55" spans="5:17" s="87" customFormat="1" x14ac:dyDescent="0.2">
      <c r="E55" s="149" t="str">
        <f>'Setting Aplikasi'!$I$20</f>
        <v>Dwi Hertanto, S.Pi, M.M.</v>
      </c>
      <c r="F55" s="101"/>
      <c r="G55" s="101"/>
      <c r="H55" s="101"/>
      <c r="I55" s="101"/>
      <c r="J55" s="101"/>
      <c r="K55" s="101"/>
      <c r="L55" s="101"/>
      <c r="Q55" s="90"/>
    </row>
    <row r="56" spans="5:17" s="87" customFormat="1" x14ac:dyDescent="0.2">
      <c r="E56" s="100" t="str">
        <f>"NIP. " &amp;'Setting Aplikasi'!$I$19</f>
        <v>NIP. 19791108 200212 1 001</v>
      </c>
      <c r="F56" s="101"/>
      <c r="G56" s="101"/>
      <c r="H56" s="101"/>
      <c r="I56" s="101"/>
      <c r="J56" s="101"/>
      <c r="K56" s="101"/>
      <c r="L56" s="101"/>
      <c r="Q56" s="90"/>
    </row>
    <row r="57" spans="5:17" s="87" customFormat="1" ht="15" thickBot="1" x14ac:dyDescent="0.25">
      <c r="E57" s="105"/>
      <c r="F57" s="106"/>
      <c r="G57" s="106"/>
      <c r="H57" s="106"/>
      <c r="I57" s="106"/>
      <c r="J57" s="106"/>
      <c r="K57" s="106"/>
      <c r="L57" s="106"/>
      <c r="M57" s="98"/>
      <c r="N57" s="98"/>
      <c r="O57" s="98"/>
      <c r="P57" s="98"/>
      <c r="Q57" s="99"/>
    </row>
    <row r="58" spans="5:17" ht="15" thickTop="1" x14ac:dyDescent="0.2"/>
  </sheetData>
  <mergeCells count="7">
    <mergeCell ref="E9:Q9"/>
    <mergeCell ref="J10:K10"/>
    <mergeCell ref="O37:Q37"/>
    <mergeCell ref="H18:Q19"/>
    <mergeCell ref="H20:Q24"/>
    <mergeCell ref="P26:Q26"/>
    <mergeCell ref="I17:K17"/>
  </mergeCells>
  <printOptions horizontalCentered="1"/>
  <pageMargins left="0.39370078740157483" right="0.39370078740157483" top="0.78740157480314965" bottom="0.39370078740157483" header="0.31496062992125984" footer="0.31496062992125984"/>
  <pageSetup paperSize="9" scale="8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9FECE-96A1-45B9-B6F2-F83CD1D9A8C2}">
  <sheetPr codeName="sh_rptKWT_Detil">
    <tabColor rgb="FFFFFF00"/>
    <pageSetUpPr fitToPage="1"/>
  </sheetPr>
  <dimension ref="A1:Q58"/>
  <sheetViews>
    <sheetView showGridLines="0" view="pageBreakPreview" topLeftCell="D1" zoomScaleNormal="100" zoomScaleSheetLayoutView="100" workbookViewId="0">
      <selection activeCell="V24" sqref="V24"/>
    </sheetView>
  </sheetViews>
  <sheetFormatPr defaultRowHeight="14.25" x14ac:dyDescent="0.2"/>
  <cols>
    <col min="1" max="3" width="0" style="87" hidden="1" customWidth="1"/>
    <col min="4" max="4" width="3.7109375" style="87" customWidth="1"/>
    <col min="5" max="6" width="9.140625" style="88"/>
    <col min="7" max="7" width="2.28515625" style="88" customWidth="1"/>
    <col min="8" max="8" width="6.42578125" style="88" customWidth="1"/>
    <col min="9" max="9" width="11.140625" style="88" customWidth="1"/>
    <col min="10" max="10" width="2.140625" style="88" customWidth="1"/>
    <col min="11" max="11" width="12.85546875" style="88" customWidth="1"/>
    <col min="12" max="12" width="11.140625" style="88" customWidth="1"/>
    <col min="13" max="13" width="7.5703125" style="87" bestFit="1" customWidth="1"/>
    <col min="14" max="14" width="2.5703125" style="87" customWidth="1"/>
    <col min="15" max="15" width="9" style="88" customWidth="1"/>
    <col min="16" max="16" width="6.28515625" style="88" customWidth="1"/>
    <col min="17" max="17" width="16.42578125" style="88" customWidth="1"/>
    <col min="18" max="18" width="3.140625" style="88" customWidth="1"/>
    <col min="19" max="16384" width="9.140625" style="88"/>
  </cols>
  <sheetData>
    <row r="1" spans="5:17" ht="15" thickBot="1" x14ac:dyDescent="0.25"/>
    <row r="2" spans="5:17" ht="15" thickTop="1" x14ac:dyDescent="0.2">
      <c r="E2" s="108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10"/>
    </row>
    <row r="3" spans="5:17" x14ac:dyDescent="0.2">
      <c r="E3" s="130"/>
      <c r="F3" s="131"/>
      <c r="G3" s="131"/>
      <c r="H3" s="131"/>
      <c r="I3" s="131"/>
      <c r="J3" s="131"/>
      <c r="K3" s="131"/>
      <c r="L3" s="138"/>
      <c r="O3" s="113"/>
      <c r="P3" s="131"/>
      <c r="Q3" s="132"/>
    </row>
    <row r="4" spans="5:17" ht="15" x14ac:dyDescent="0.2">
      <c r="E4" s="133"/>
      <c r="F4" s="134"/>
      <c r="G4" s="134"/>
      <c r="H4" s="134"/>
      <c r="I4" s="134"/>
      <c r="J4" s="134"/>
      <c r="K4" s="134"/>
      <c r="L4" s="138"/>
      <c r="M4" s="88"/>
      <c r="N4" s="88"/>
      <c r="O4" s="145"/>
      <c r="P4" s="134"/>
      <c r="Q4" s="135"/>
    </row>
    <row r="5" spans="5:17" ht="15" x14ac:dyDescent="0.2">
      <c r="E5" s="133"/>
      <c r="F5" s="134"/>
      <c r="G5" s="134"/>
      <c r="H5" s="134"/>
      <c r="I5" s="134"/>
      <c r="J5" s="134"/>
      <c r="K5" s="134"/>
      <c r="L5" s="138"/>
      <c r="M5" s="134"/>
      <c r="N5" s="134"/>
      <c r="O5" s="145"/>
      <c r="P5" s="134"/>
      <c r="Q5" s="135"/>
    </row>
    <row r="6" spans="5:17" ht="15" x14ac:dyDescent="0.2">
      <c r="E6" s="133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5"/>
    </row>
    <row r="7" spans="5:17" ht="15" x14ac:dyDescent="0.2">
      <c r="E7" s="133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5"/>
    </row>
    <row r="8" spans="5:17" x14ac:dyDescent="0.2">
      <c r="E8" s="89"/>
      <c r="F8" s="87"/>
      <c r="G8" s="87"/>
      <c r="H8" s="87"/>
      <c r="I8" s="87"/>
      <c r="J8" s="87"/>
      <c r="K8" s="87"/>
      <c r="L8" s="87"/>
      <c r="O8" s="87"/>
      <c r="P8" s="87"/>
      <c r="Q8" s="90"/>
    </row>
    <row r="9" spans="5:17" ht="15.75" x14ac:dyDescent="0.25">
      <c r="E9" s="263" t="s">
        <v>1307</v>
      </c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5"/>
    </row>
    <row r="10" spans="5:17" x14ac:dyDescent="0.2">
      <c r="E10" s="89"/>
      <c r="I10" s="91"/>
      <c r="J10" s="266"/>
      <c r="K10" s="266"/>
      <c r="L10" s="118"/>
      <c r="M10" s="91"/>
      <c r="N10" s="92"/>
      <c r="P10" s="87"/>
      <c r="Q10" s="90"/>
    </row>
    <row r="11" spans="5:17" x14ac:dyDescent="0.2">
      <c r="E11" s="89"/>
      <c r="F11" s="87"/>
      <c r="G11" s="87"/>
      <c r="H11" s="87"/>
      <c r="I11" s="87"/>
      <c r="J11" s="87"/>
      <c r="K11" s="87"/>
      <c r="L11" s="87"/>
      <c r="O11" s="87"/>
      <c r="P11" s="87"/>
      <c r="Q11" s="90"/>
    </row>
    <row r="12" spans="5:17" x14ac:dyDescent="0.2">
      <c r="E12" s="103" t="s">
        <v>1308</v>
      </c>
      <c r="F12" s="101"/>
      <c r="G12" s="101" t="s">
        <v>1286</v>
      </c>
      <c r="H12" s="102" t="s">
        <v>1309</v>
      </c>
      <c r="I12" s="87"/>
      <c r="J12" s="87"/>
      <c r="K12" s="87"/>
      <c r="L12" s="87"/>
      <c r="O12" s="87"/>
      <c r="P12" s="87"/>
      <c r="Q12" s="90"/>
    </row>
    <row r="13" spans="5:17" ht="14.25" customHeight="1" x14ac:dyDescent="0.2">
      <c r="E13" s="103"/>
      <c r="F13" s="101"/>
      <c r="G13" s="101"/>
      <c r="H13" s="111" t="s">
        <v>1310</v>
      </c>
      <c r="I13" s="102" t="s">
        <v>1278</v>
      </c>
      <c r="J13" s="111"/>
      <c r="K13" s="111"/>
      <c r="L13" s="111"/>
      <c r="M13" s="111"/>
      <c r="N13" s="111"/>
      <c r="O13" s="111"/>
      <c r="P13" s="111"/>
      <c r="Q13" s="112"/>
    </row>
    <row r="14" spans="5:17" x14ac:dyDescent="0.2">
      <c r="E14" s="89"/>
      <c r="F14" s="87"/>
      <c r="G14" s="87"/>
      <c r="H14" s="136" t="s">
        <v>1311</v>
      </c>
      <c r="I14" s="111"/>
      <c r="J14" s="111"/>
      <c r="K14" s="111"/>
      <c r="L14" s="111"/>
      <c r="M14" s="111"/>
      <c r="N14" s="111"/>
      <c r="O14" s="111"/>
      <c r="P14" s="111"/>
      <c r="Q14" s="112"/>
    </row>
    <row r="15" spans="5:17" x14ac:dyDescent="0.2">
      <c r="E15" s="89"/>
      <c r="F15" s="87"/>
      <c r="G15" s="87"/>
      <c r="H15" s="136"/>
      <c r="I15" s="111"/>
      <c r="J15" s="111"/>
      <c r="K15" s="111"/>
      <c r="L15" s="111"/>
      <c r="M15" s="111"/>
      <c r="N15" s="111"/>
      <c r="O15" s="111"/>
      <c r="P15" s="111"/>
      <c r="Q15" s="112"/>
    </row>
    <row r="16" spans="5:17" x14ac:dyDescent="0.2">
      <c r="E16" s="130"/>
      <c r="F16" s="131"/>
      <c r="G16" s="131"/>
      <c r="H16" s="131"/>
      <c r="I16" s="131"/>
      <c r="J16" s="131"/>
      <c r="K16" s="131"/>
      <c r="L16" s="131"/>
      <c r="O16" s="87"/>
      <c r="P16" s="87"/>
      <c r="Q16" s="90"/>
    </row>
    <row r="17" spans="5:17" x14ac:dyDescent="0.2">
      <c r="E17" s="103" t="s">
        <v>1312</v>
      </c>
      <c r="F17" s="101"/>
      <c r="G17" s="101" t="s">
        <v>1286</v>
      </c>
      <c r="H17" s="102" t="s">
        <v>1313</v>
      </c>
      <c r="I17" s="274" t="s">
        <v>1315</v>
      </c>
      <c r="J17" s="274"/>
      <c r="K17" s="274"/>
      <c r="L17" s="87"/>
      <c r="O17" s="87"/>
      <c r="P17" s="87"/>
      <c r="Q17" s="90"/>
    </row>
    <row r="18" spans="5:17" ht="14.25" customHeight="1" x14ac:dyDescent="0.2">
      <c r="E18" s="103" t="s">
        <v>1314</v>
      </c>
      <c r="F18" s="101"/>
      <c r="G18" s="101" t="s">
        <v>1286</v>
      </c>
      <c r="H18" s="275" t="s">
        <v>1284</v>
      </c>
      <c r="I18" s="275"/>
      <c r="J18" s="275"/>
      <c r="K18" s="275"/>
      <c r="L18" s="275"/>
      <c r="M18" s="275"/>
      <c r="N18" s="275"/>
      <c r="O18" s="275"/>
      <c r="P18" s="275"/>
      <c r="Q18" s="276"/>
    </row>
    <row r="19" spans="5:17" x14ac:dyDescent="0.2">
      <c r="E19" s="126"/>
      <c r="F19" s="127"/>
      <c r="G19" s="127"/>
      <c r="H19" s="275"/>
      <c r="I19" s="275"/>
      <c r="J19" s="275"/>
      <c r="K19" s="275"/>
      <c r="L19" s="275"/>
      <c r="M19" s="275"/>
      <c r="N19" s="275"/>
      <c r="O19" s="275"/>
      <c r="P19" s="275"/>
      <c r="Q19" s="276"/>
    </row>
    <row r="20" spans="5:17" ht="14.25" customHeight="1" x14ac:dyDescent="0.2">
      <c r="E20" s="103" t="s">
        <v>1287</v>
      </c>
      <c r="F20" s="101"/>
      <c r="G20" s="101" t="s">
        <v>1286</v>
      </c>
      <c r="H20" s="267" t="s">
        <v>1301</v>
      </c>
      <c r="I20" s="267"/>
      <c r="J20" s="267"/>
      <c r="K20" s="267"/>
      <c r="L20" s="267"/>
      <c r="M20" s="267"/>
      <c r="N20" s="267"/>
      <c r="O20" s="267"/>
      <c r="P20" s="267"/>
      <c r="Q20" s="268"/>
    </row>
    <row r="21" spans="5:17" x14ac:dyDescent="0.2">
      <c r="E21" s="89"/>
      <c r="F21" s="87"/>
      <c r="G21" s="87"/>
      <c r="H21" s="267"/>
      <c r="I21" s="267"/>
      <c r="J21" s="267"/>
      <c r="K21" s="267"/>
      <c r="L21" s="267"/>
      <c r="M21" s="267"/>
      <c r="N21" s="267"/>
      <c r="O21" s="267"/>
      <c r="P21" s="267"/>
      <c r="Q21" s="268"/>
    </row>
    <row r="22" spans="5:17" x14ac:dyDescent="0.2">
      <c r="E22" s="89"/>
      <c r="F22" s="87"/>
      <c r="G22" s="87"/>
      <c r="H22" s="267"/>
      <c r="I22" s="267"/>
      <c r="J22" s="267"/>
      <c r="K22" s="267"/>
      <c r="L22" s="267"/>
      <c r="M22" s="267"/>
      <c r="N22" s="267"/>
      <c r="O22" s="267"/>
      <c r="P22" s="267"/>
      <c r="Q22" s="268"/>
    </row>
    <row r="23" spans="5:17" x14ac:dyDescent="0.2">
      <c r="E23" s="89"/>
      <c r="F23" s="87"/>
      <c r="G23" s="87"/>
      <c r="H23" s="267"/>
      <c r="I23" s="267"/>
      <c r="J23" s="267"/>
      <c r="K23" s="267"/>
      <c r="L23" s="267"/>
      <c r="M23" s="267"/>
      <c r="N23" s="267"/>
      <c r="O23" s="267"/>
      <c r="P23" s="267"/>
      <c r="Q23" s="268"/>
    </row>
    <row r="24" spans="5:17" x14ac:dyDescent="0.2">
      <c r="E24" s="89"/>
      <c r="F24" s="87"/>
      <c r="G24" s="87"/>
      <c r="H24" s="267"/>
      <c r="I24" s="267"/>
      <c r="J24" s="267"/>
      <c r="K24" s="267"/>
      <c r="L24" s="267"/>
      <c r="M24" s="267"/>
      <c r="N24" s="267"/>
      <c r="O24" s="267"/>
      <c r="P24" s="267"/>
      <c r="Q24" s="268"/>
    </row>
    <row r="25" spans="5:17" x14ac:dyDescent="0.2">
      <c r="E25" s="89"/>
      <c r="F25" s="87"/>
      <c r="G25" s="87"/>
      <c r="H25" s="111"/>
      <c r="I25" s="111"/>
      <c r="J25" s="111"/>
      <c r="K25" s="111"/>
      <c r="L25" s="111"/>
      <c r="M25" s="111"/>
      <c r="N25" s="111"/>
      <c r="O25" s="111"/>
      <c r="P25" s="111"/>
      <c r="Q25" s="112"/>
    </row>
    <row r="26" spans="5:17" x14ac:dyDescent="0.2">
      <c r="E26" s="89"/>
      <c r="F26" s="87"/>
      <c r="G26" s="87"/>
      <c r="H26" s="87"/>
      <c r="I26" s="87"/>
      <c r="J26" s="87"/>
      <c r="K26" s="87"/>
      <c r="L26" s="87"/>
      <c r="N26" s="88"/>
      <c r="O26" s="138" t="s">
        <v>1317</v>
      </c>
      <c r="P26" s="271">
        <v>43922</v>
      </c>
      <c r="Q26" s="272"/>
    </row>
    <row r="27" spans="5:17" x14ac:dyDescent="0.2">
      <c r="E27" s="137"/>
      <c r="F27" s="138"/>
      <c r="G27" s="138"/>
      <c r="H27" s="138"/>
      <c r="I27" s="138"/>
      <c r="J27" s="138"/>
      <c r="K27" s="138"/>
      <c r="L27" s="138"/>
      <c r="M27" s="88"/>
      <c r="N27" s="88"/>
      <c r="O27" s="138" t="s">
        <v>1288</v>
      </c>
      <c r="P27" s="138"/>
      <c r="Q27" s="139"/>
    </row>
    <row r="28" spans="5:17" x14ac:dyDescent="0.2">
      <c r="E28" s="137"/>
      <c r="F28" s="138"/>
      <c r="G28" s="138"/>
      <c r="H28" s="138"/>
      <c r="I28" s="138"/>
      <c r="J28" s="138"/>
      <c r="K28" s="138"/>
      <c r="L28" s="138"/>
      <c r="M28" s="88"/>
      <c r="N28" s="88"/>
      <c r="O28" s="138"/>
      <c r="P28" s="138"/>
      <c r="Q28" s="139"/>
    </row>
    <row r="29" spans="5:17" x14ac:dyDescent="0.2">
      <c r="E29" s="137"/>
      <c r="F29" s="138"/>
      <c r="G29" s="138"/>
      <c r="H29" s="138"/>
      <c r="I29" s="138"/>
      <c r="J29" s="138"/>
      <c r="K29" s="138"/>
      <c r="L29" s="138"/>
      <c r="M29" s="88"/>
      <c r="N29" s="88"/>
      <c r="O29" s="138"/>
      <c r="P29" s="138"/>
      <c r="Q29" s="139"/>
    </row>
    <row r="30" spans="5:17" x14ac:dyDescent="0.2">
      <c r="E30" s="137"/>
      <c r="F30" s="138"/>
      <c r="G30" s="138"/>
      <c r="H30" s="138"/>
      <c r="I30" s="138"/>
      <c r="J30" s="138"/>
      <c r="K30" s="138"/>
      <c r="L30" s="138"/>
      <c r="M30" s="88"/>
      <c r="N30" s="88"/>
      <c r="O30" s="138"/>
      <c r="P30" s="138"/>
      <c r="Q30" s="139"/>
    </row>
    <row r="31" spans="5:17" x14ac:dyDescent="0.2">
      <c r="E31" s="137"/>
      <c r="F31" s="138"/>
      <c r="G31" s="138"/>
      <c r="H31" s="138"/>
      <c r="I31" s="138"/>
      <c r="J31" s="138"/>
      <c r="K31" s="138"/>
      <c r="L31" s="138"/>
      <c r="M31" s="88"/>
      <c r="N31" s="88"/>
      <c r="O31" s="138"/>
      <c r="P31" s="138"/>
      <c r="Q31" s="139"/>
    </row>
    <row r="32" spans="5:17" x14ac:dyDescent="0.2">
      <c r="E32" s="137"/>
      <c r="F32" s="138"/>
      <c r="G32" s="138"/>
      <c r="H32" s="138"/>
      <c r="I32" s="138"/>
      <c r="J32" s="138"/>
      <c r="K32" s="138"/>
      <c r="L32" s="138"/>
      <c r="M32" s="88"/>
      <c r="N32" s="88"/>
      <c r="O32" s="117" t="s">
        <v>1324</v>
      </c>
      <c r="P32" s="138"/>
      <c r="Q32" s="139"/>
    </row>
    <row r="33" spans="5:17" x14ac:dyDescent="0.2">
      <c r="E33" s="137"/>
      <c r="F33" s="138"/>
      <c r="G33" s="138"/>
      <c r="H33" s="138"/>
      <c r="I33" s="138"/>
      <c r="J33" s="138"/>
      <c r="K33" s="138"/>
      <c r="L33" s="138"/>
      <c r="M33" s="88"/>
      <c r="N33" s="138"/>
      <c r="O33" s="138"/>
      <c r="P33" s="138"/>
      <c r="Q33" s="139"/>
    </row>
    <row r="34" spans="5:17" x14ac:dyDescent="0.2">
      <c r="E34" s="140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2"/>
    </row>
    <row r="35" spans="5:17" x14ac:dyDescent="0.2">
      <c r="E35" s="137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9"/>
    </row>
    <row r="36" spans="5:17" x14ac:dyDescent="0.2">
      <c r="E36" s="100" t="s">
        <v>1318</v>
      </c>
      <c r="F36" s="101"/>
      <c r="G36" s="101"/>
      <c r="H36" s="101"/>
      <c r="I36" s="115"/>
      <c r="J36" s="101"/>
      <c r="K36" s="101"/>
      <c r="L36" s="125"/>
      <c r="M36" s="125"/>
      <c r="N36" s="88"/>
      <c r="O36" s="101" t="s">
        <v>1319</v>
      </c>
      <c r="P36" s="101"/>
      <c r="Q36" s="116">
        <v>43922</v>
      </c>
    </row>
    <row r="37" spans="5:17" x14ac:dyDescent="0.2">
      <c r="E37" s="100" t="s">
        <v>1303</v>
      </c>
      <c r="F37" s="101"/>
      <c r="G37" s="101"/>
      <c r="H37" s="101"/>
      <c r="I37" s="101"/>
      <c r="J37" s="101"/>
      <c r="K37" s="101"/>
      <c r="L37" s="101"/>
      <c r="M37" s="88"/>
      <c r="N37" s="88"/>
      <c r="O37" s="267" t="s">
        <v>1326</v>
      </c>
      <c r="P37" s="267"/>
      <c r="Q37" s="268"/>
    </row>
    <row r="38" spans="5:17" x14ac:dyDescent="0.2">
      <c r="E38" s="100" t="s">
        <v>1328</v>
      </c>
      <c r="F38" s="101"/>
      <c r="G38" s="101"/>
      <c r="H38" s="101"/>
      <c r="I38" s="101"/>
      <c r="J38" s="101"/>
      <c r="K38" s="101"/>
      <c r="L38" s="101"/>
      <c r="M38" s="101"/>
      <c r="N38" s="88"/>
      <c r="O38" s="101" t="s">
        <v>1327</v>
      </c>
      <c r="P38" s="101"/>
      <c r="Q38" s="104"/>
    </row>
    <row r="39" spans="5:17" x14ac:dyDescent="0.2">
      <c r="E39" s="100"/>
      <c r="F39" s="101"/>
      <c r="G39" s="101"/>
      <c r="H39" s="101"/>
      <c r="I39" s="101"/>
      <c r="J39" s="101"/>
      <c r="K39" s="101"/>
      <c r="L39" s="101"/>
      <c r="M39" s="101"/>
      <c r="N39" s="88"/>
      <c r="O39" s="101"/>
      <c r="P39" s="101"/>
      <c r="Q39" s="104"/>
    </row>
    <row r="40" spans="5:17" x14ac:dyDescent="0.2">
      <c r="E40" s="100"/>
      <c r="F40" s="101"/>
      <c r="G40" s="101"/>
      <c r="H40" s="101"/>
      <c r="I40" s="101"/>
      <c r="J40" s="101"/>
      <c r="K40" s="101"/>
      <c r="L40" s="101"/>
      <c r="M40" s="101"/>
      <c r="N40" s="88"/>
      <c r="O40" s="101"/>
      <c r="P40" s="101"/>
      <c r="Q40" s="104"/>
    </row>
    <row r="41" spans="5:17" x14ac:dyDescent="0.2">
      <c r="E41" s="100"/>
      <c r="F41" s="101"/>
      <c r="G41" s="101"/>
      <c r="H41" s="101"/>
      <c r="I41" s="101"/>
      <c r="J41" s="101"/>
      <c r="K41" s="101"/>
      <c r="L41" s="101"/>
      <c r="M41" s="101"/>
      <c r="N41" s="88"/>
      <c r="O41" s="101"/>
      <c r="P41" s="101"/>
      <c r="Q41" s="104"/>
    </row>
    <row r="42" spans="5:17" x14ac:dyDescent="0.2">
      <c r="E42" s="100"/>
      <c r="F42" s="101"/>
      <c r="G42" s="101"/>
      <c r="H42" s="101"/>
      <c r="I42" s="101"/>
      <c r="J42" s="101"/>
      <c r="K42" s="101"/>
      <c r="L42" s="101"/>
      <c r="M42" s="101"/>
      <c r="N42" s="88"/>
      <c r="O42" s="101"/>
      <c r="P42" s="101"/>
      <c r="Q42" s="104"/>
    </row>
    <row r="43" spans="5:17" s="87" customFormat="1" x14ac:dyDescent="0.2">
      <c r="E43" s="100"/>
      <c r="F43" s="101"/>
      <c r="G43" s="101"/>
      <c r="H43" s="101"/>
      <c r="I43" s="101"/>
      <c r="J43" s="101"/>
      <c r="K43" s="101"/>
      <c r="L43" s="101"/>
      <c r="M43" s="101"/>
      <c r="O43" s="101"/>
      <c r="P43" s="101"/>
      <c r="Q43" s="104"/>
    </row>
    <row r="44" spans="5:17" s="87" customFormat="1" x14ac:dyDescent="0.2">
      <c r="E44" s="107" t="s">
        <v>1305</v>
      </c>
      <c r="F44" s="101"/>
      <c r="G44" s="101"/>
      <c r="H44" s="101"/>
      <c r="I44" s="101"/>
      <c r="J44" s="101"/>
      <c r="K44" s="101"/>
      <c r="L44" s="101"/>
      <c r="O44" s="143" t="s">
        <v>1329</v>
      </c>
      <c r="P44" s="101"/>
      <c r="Q44" s="104"/>
    </row>
    <row r="45" spans="5:17" s="87" customFormat="1" x14ac:dyDescent="0.2">
      <c r="E45" s="100" t="s">
        <v>1306</v>
      </c>
      <c r="F45" s="101"/>
      <c r="G45" s="101"/>
      <c r="H45" s="101"/>
      <c r="I45" s="101"/>
      <c r="J45" s="101"/>
      <c r="K45" s="101"/>
      <c r="L45" s="101"/>
      <c r="O45" s="101" t="s">
        <v>1298</v>
      </c>
      <c r="P45" s="101"/>
      <c r="Q45" s="104"/>
    </row>
    <row r="46" spans="5:17" s="87" customFormat="1" x14ac:dyDescent="0.2">
      <c r="E46" s="129"/>
      <c r="F46" s="144"/>
      <c r="G46" s="144"/>
      <c r="H46" s="144"/>
      <c r="I46" s="144"/>
      <c r="J46" s="144"/>
      <c r="K46" s="144"/>
      <c r="L46" s="144"/>
      <c r="M46" s="95"/>
      <c r="N46" s="95"/>
      <c r="O46" s="95"/>
      <c r="P46" s="95"/>
      <c r="Q46" s="96"/>
    </row>
    <row r="47" spans="5:17" s="87" customFormat="1" x14ac:dyDescent="0.2">
      <c r="E47" s="89"/>
      <c r="F47" s="101"/>
      <c r="G47" s="101"/>
      <c r="H47" s="101"/>
      <c r="I47" s="101"/>
      <c r="J47" s="101"/>
      <c r="K47" s="101"/>
      <c r="L47" s="101"/>
      <c r="Q47" s="90"/>
    </row>
    <row r="48" spans="5:17" s="87" customFormat="1" x14ac:dyDescent="0.2">
      <c r="E48" s="100" t="s">
        <v>1320</v>
      </c>
      <c r="F48" s="101"/>
      <c r="G48" s="101"/>
      <c r="H48" s="101"/>
      <c r="I48" s="101"/>
      <c r="J48" s="101"/>
      <c r="K48" s="101"/>
      <c r="L48" s="101"/>
      <c r="Q48" s="90"/>
    </row>
    <row r="49" spans="5:17" s="87" customFormat="1" x14ac:dyDescent="0.2">
      <c r="E49" s="100" t="s">
        <v>1321</v>
      </c>
      <c r="F49" s="101"/>
      <c r="G49" s="101"/>
      <c r="H49" s="101"/>
      <c r="I49" s="101"/>
      <c r="J49" s="101"/>
      <c r="K49" s="101"/>
      <c r="L49" s="101"/>
      <c r="Q49" s="90"/>
    </row>
    <row r="50" spans="5:17" s="87" customFormat="1" x14ac:dyDescent="0.2">
      <c r="E50" s="100"/>
      <c r="F50" s="101"/>
      <c r="G50" s="101"/>
      <c r="H50" s="101"/>
      <c r="I50" s="101"/>
      <c r="J50" s="101"/>
      <c r="K50" s="101"/>
      <c r="L50" s="101"/>
      <c r="Q50" s="90"/>
    </row>
    <row r="51" spans="5:17" s="87" customFormat="1" x14ac:dyDescent="0.2">
      <c r="E51" s="100"/>
      <c r="F51" s="101"/>
      <c r="G51" s="101"/>
      <c r="H51" s="101"/>
      <c r="I51" s="101"/>
      <c r="J51" s="101"/>
      <c r="K51" s="101"/>
      <c r="L51" s="101"/>
      <c r="Q51" s="90"/>
    </row>
    <row r="52" spans="5:17" s="87" customFormat="1" x14ac:dyDescent="0.2">
      <c r="E52" s="100"/>
      <c r="F52" s="101"/>
      <c r="G52" s="101"/>
      <c r="H52" s="101"/>
      <c r="I52" s="101"/>
      <c r="J52" s="101"/>
      <c r="K52" s="101"/>
      <c r="L52" s="101"/>
      <c r="Q52" s="90"/>
    </row>
    <row r="53" spans="5:17" s="87" customFormat="1" x14ac:dyDescent="0.2">
      <c r="E53" s="100"/>
      <c r="F53" s="101"/>
      <c r="G53" s="101"/>
      <c r="H53" s="101"/>
      <c r="I53" s="101"/>
      <c r="J53" s="101"/>
      <c r="K53" s="101"/>
      <c r="L53" s="101"/>
      <c r="Q53" s="90"/>
    </row>
    <row r="54" spans="5:17" s="87" customFormat="1" x14ac:dyDescent="0.2">
      <c r="E54" s="100"/>
      <c r="F54" s="101"/>
      <c r="G54" s="101"/>
      <c r="H54" s="101"/>
      <c r="I54" s="101"/>
      <c r="J54" s="101"/>
      <c r="K54" s="101"/>
      <c r="L54" s="101"/>
      <c r="Q54" s="90"/>
    </row>
    <row r="55" spans="5:17" s="87" customFormat="1" x14ac:dyDescent="0.2">
      <c r="E55" s="107" t="s">
        <v>1323</v>
      </c>
      <c r="F55" s="101"/>
      <c r="G55" s="101"/>
      <c r="H55" s="101"/>
      <c r="I55" s="101"/>
      <c r="J55" s="101"/>
      <c r="K55" s="101"/>
      <c r="L55" s="101"/>
      <c r="Q55" s="90"/>
    </row>
    <row r="56" spans="5:17" s="87" customFormat="1" x14ac:dyDescent="0.2">
      <c r="E56" s="100" t="s">
        <v>1306</v>
      </c>
      <c r="F56" s="101"/>
      <c r="G56" s="101"/>
      <c r="H56" s="101"/>
      <c r="I56" s="101"/>
      <c r="J56" s="101"/>
      <c r="K56" s="101"/>
      <c r="L56" s="101"/>
      <c r="Q56" s="90"/>
    </row>
    <row r="57" spans="5:17" s="87" customFormat="1" ht="15" thickBot="1" x14ac:dyDescent="0.25">
      <c r="E57" s="105"/>
      <c r="F57" s="106"/>
      <c r="G57" s="106"/>
      <c r="H57" s="106"/>
      <c r="I57" s="106"/>
      <c r="J57" s="106"/>
      <c r="K57" s="106"/>
      <c r="L57" s="106"/>
      <c r="M57" s="98"/>
      <c r="N57" s="98"/>
      <c r="O57" s="98"/>
      <c r="P57" s="98"/>
      <c r="Q57" s="99"/>
    </row>
    <row r="58" spans="5:17" ht="15" thickTop="1" x14ac:dyDescent="0.2"/>
  </sheetData>
  <mergeCells count="7">
    <mergeCell ref="O37:Q37"/>
    <mergeCell ref="E9:Q9"/>
    <mergeCell ref="J10:K10"/>
    <mergeCell ref="I17:K17"/>
    <mergeCell ref="H18:Q19"/>
    <mergeCell ref="H20:Q24"/>
    <mergeCell ref="P26:Q26"/>
  </mergeCells>
  <printOptions horizontalCentered="1"/>
  <pageMargins left="0.39370078740157483" right="0.39370078740157483" top="0.78740157480314965" bottom="0.39370078740157483" header="0.31496062992125984" footer="0.31496062992125984"/>
  <pageSetup paperSize="9" scale="84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7542-4EA0-4F36-BC32-E178722FEB60}">
  <sheetPr codeName="sh_rptSPBY">
    <tabColor rgb="FFFFFF00"/>
    <pageSetUpPr fitToPage="1"/>
  </sheetPr>
  <dimension ref="A1:Q58"/>
  <sheetViews>
    <sheetView showGridLines="0" view="pageBreakPreview" topLeftCell="D1" zoomScaleNormal="100" zoomScaleSheetLayoutView="100" workbookViewId="0">
      <selection activeCell="E13" sqref="E13:Q14"/>
    </sheetView>
  </sheetViews>
  <sheetFormatPr defaultRowHeight="14.25" x14ac:dyDescent="0.2"/>
  <cols>
    <col min="1" max="3" width="0" style="87" hidden="1" customWidth="1"/>
    <col min="4" max="4" width="3.7109375" style="87" customWidth="1"/>
    <col min="5" max="6" width="9.140625" style="88"/>
    <col min="7" max="7" width="2.28515625" style="88" customWidth="1"/>
    <col min="8" max="8" width="6.42578125" style="88" customWidth="1"/>
    <col min="9" max="9" width="11.140625" style="88" customWidth="1"/>
    <col min="10" max="10" width="2.140625" style="88" customWidth="1"/>
    <col min="11" max="11" width="12.85546875" style="88" customWidth="1"/>
    <col min="12" max="12" width="11.140625" style="88" customWidth="1"/>
    <col min="13" max="13" width="6.42578125" style="87" customWidth="1"/>
    <col min="14" max="14" width="9.140625" style="87"/>
    <col min="15" max="17" width="9.140625" style="88"/>
    <col min="18" max="18" width="3.140625" style="88" customWidth="1"/>
    <col min="19" max="16384" width="9.140625" style="88"/>
  </cols>
  <sheetData>
    <row r="1" spans="5:17" ht="15" thickBot="1" x14ac:dyDescent="0.25"/>
    <row r="2" spans="5:17" ht="15" thickTop="1" x14ac:dyDescent="0.2">
      <c r="E2" s="108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10"/>
    </row>
    <row r="3" spans="5:17" ht="15" x14ac:dyDescent="0.25">
      <c r="E3" s="286" t="s">
        <v>1277</v>
      </c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8"/>
    </row>
    <row r="4" spans="5:17" ht="15.75" x14ac:dyDescent="0.25">
      <c r="E4" s="263" t="s">
        <v>1278</v>
      </c>
      <c r="F4" s="264"/>
      <c r="G4" s="264"/>
      <c r="H4" s="264"/>
      <c r="I4" s="264"/>
      <c r="J4" s="264"/>
      <c r="K4" s="264"/>
      <c r="L4" s="264"/>
      <c r="M4" s="264"/>
      <c r="N4" s="264"/>
      <c r="O4" s="264"/>
      <c r="P4" s="264"/>
      <c r="Q4" s="265"/>
    </row>
    <row r="5" spans="5:17" x14ac:dyDescent="0.2">
      <c r="E5" s="89"/>
      <c r="F5" s="87"/>
      <c r="G5" s="87"/>
      <c r="H5" s="87"/>
      <c r="I5" s="87"/>
      <c r="J5" s="87"/>
      <c r="K5" s="87"/>
      <c r="L5" s="87"/>
      <c r="O5" s="87"/>
      <c r="P5" s="87"/>
      <c r="Q5" s="90"/>
    </row>
    <row r="6" spans="5:17" ht="15.75" x14ac:dyDescent="0.25">
      <c r="E6" s="263" t="s">
        <v>1279</v>
      </c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5"/>
    </row>
    <row r="7" spans="5:17" x14ac:dyDescent="0.2">
      <c r="E7" s="89"/>
      <c r="I7" s="91" t="s">
        <v>1280</v>
      </c>
      <c r="J7" s="266">
        <v>43922</v>
      </c>
      <c r="K7" s="266"/>
      <c r="L7" s="118"/>
      <c r="M7" s="91" t="s">
        <v>1281</v>
      </c>
      <c r="N7" s="92" t="s">
        <v>1282</v>
      </c>
      <c r="P7" s="87"/>
      <c r="Q7" s="90"/>
    </row>
    <row r="8" spans="5:17" ht="15" thickBot="1" x14ac:dyDescent="0.25">
      <c r="E8" s="89"/>
      <c r="F8" s="87"/>
      <c r="G8" s="87"/>
      <c r="H8" s="87"/>
      <c r="I8" s="87"/>
      <c r="J8" s="87"/>
      <c r="K8" s="87"/>
      <c r="L8" s="87"/>
      <c r="M8" s="98"/>
      <c r="N8" s="98"/>
      <c r="O8" s="98"/>
      <c r="P8" s="98"/>
      <c r="Q8" s="99"/>
    </row>
    <row r="9" spans="5:17" ht="5.25" customHeight="1" thickTop="1" x14ac:dyDescent="0.2">
      <c r="E9" s="93"/>
      <c r="F9" s="94"/>
      <c r="G9" s="94"/>
      <c r="H9" s="94"/>
      <c r="I9" s="94"/>
      <c r="J9" s="94"/>
      <c r="K9" s="94"/>
      <c r="L9" s="94"/>
      <c r="O9" s="87"/>
      <c r="P9" s="87"/>
      <c r="Q9" s="90"/>
    </row>
    <row r="10" spans="5:17" ht="30.75" customHeight="1" x14ac:dyDescent="0.2">
      <c r="E10" s="277" t="s">
        <v>1283</v>
      </c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8"/>
    </row>
    <row r="11" spans="5:17" ht="22.5" customHeight="1" x14ac:dyDescent="0.2">
      <c r="E11" s="284" t="str">
        <f>"Rp. 100.000.000,-"</f>
        <v>Rp. 100.000.000,-</v>
      </c>
      <c r="F11" s="28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6"/>
    </row>
    <row r="12" spans="5:17" ht="9" customHeight="1" x14ac:dyDescent="0.2">
      <c r="E12" s="121"/>
      <c r="F12" s="122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4"/>
    </row>
    <row r="13" spans="5:17" ht="21" customHeight="1" x14ac:dyDescent="0.2">
      <c r="E13" s="278" t="s">
        <v>1284</v>
      </c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80"/>
    </row>
    <row r="14" spans="5:17" ht="21" customHeight="1" x14ac:dyDescent="0.2">
      <c r="E14" s="281"/>
      <c r="F14" s="282"/>
      <c r="G14" s="282"/>
      <c r="H14" s="282"/>
      <c r="I14" s="282"/>
      <c r="J14" s="282"/>
      <c r="K14" s="282"/>
      <c r="L14" s="282"/>
      <c r="M14" s="282"/>
      <c r="N14" s="282"/>
      <c r="O14" s="282"/>
      <c r="P14" s="282"/>
      <c r="Q14" s="283"/>
    </row>
    <row r="15" spans="5:17" x14ac:dyDescent="0.2">
      <c r="E15" s="119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8"/>
    </row>
    <row r="16" spans="5:17" x14ac:dyDescent="0.2">
      <c r="E16" s="103" t="s">
        <v>1285</v>
      </c>
      <c r="F16" s="101"/>
      <c r="G16" s="101" t="s">
        <v>1286</v>
      </c>
      <c r="H16" s="102" t="s">
        <v>1288</v>
      </c>
      <c r="I16" s="87"/>
      <c r="J16" s="87"/>
      <c r="K16" s="87"/>
      <c r="L16" s="87"/>
      <c r="O16" s="87"/>
      <c r="P16" s="87"/>
      <c r="Q16" s="90"/>
    </row>
    <row r="17" spans="5:17" ht="14.25" customHeight="1" x14ac:dyDescent="0.2">
      <c r="E17" s="103" t="s">
        <v>1287</v>
      </c>
      <c r="F17" s="101"/>
      <c r="G17" s="101" t="s">
        <v>1286</v>
      </c>
      <c r="H17" s="267" t="s">
        <v>1301</v>
      </c>
      <c r="I17" s="267"/>
      <c r="J17" s="267"/>
      <c r="K17" s="267"/>
      <c r="L17" s="267"/>
      <c r="M17" s="267"/>
      <c r="N17" s="267"/>
      <c r="O17" s="267"/>
      <c r="P17" s="267"/>
      <c r="Q17" s="268"/>
    </row>
    <row r="18" spans="5:17" x14ac:dyDescent="0.2">
      <c r="E18" s="89"/>
      <c r="F18" s="87"/>
      <c r="G18" s="87"/>
      <c r="H18" s="267"/>
      <c r="I18" s="267"/>
      <c r="J18" s="267"/>
      <c r="K18" s="267"/>
      <c r="L18" s="267"/>
      <c r="M18" s="267"/>
      <c r="N18" s="267"/>
      <c r="O18" s="267"/>
      <c r="P18" s="267"/>
      <c r="Q18" s="268"/>
    </row>
    <row r="19" spans="5:17" x14ac:dyDescent="0.2">
      <c r="E19" s="89"/>
      <c r="F19" s="87"/>
      <c r="G19" s="87"/>
      <c r="H19" s="267"/>
      <c r="I19" s="267"/>
      <c r="J19" s="267"/>
      <c r="K19" s="267"/>
      <c r="L19" s="267"/>
      <c r="M19" s="267"/>
      <c r="N19" s="267"/>
      <c r="O19" s="267"/>
      <c r="P19" s="267"/>
      <c r="Q19" s="268"/>
    </row>
    <row r="20" spans="5:17" x14ac:dyDescent="0.2">
      <c r="E20" s="89"/>
      <c r="F20" s="87"/>
      <c r="G20" s="87"/>
      <c r="H20" s="267"/>
      <c r="I20" s="267"/>
      <c r="J20" s="267"/>
      <c r="K20" s="267"/>
      <c r="L20" s="267"/>
      <c r="M20" s="267"/>
      <c r="N20" s="267"/>
      <c r="O20" s="267"/>
      <c r="P20" s="267"/>
      <c r="Q20" s="268"/>
    </row>
    <row r="21" spans="5:17" x14ac:dyDescent="0.2">
      <c r="E21" s="89"/>
      <c r="F21" s="87"/>
      <c r="G21" s="87"/>
      <c r="H21" s="267"/>
      <c r="I21" s="267"/>
      <c r="J21" s="267"/>
      <c r="K21" s="267"/>
      <c r="L21" s="267"/>
      <c r="M21" s="267"/>
      <c r="N21" s="267"/>
      <c r="O21" s="267"/>
      <c r="P21" s="267"/>
      <c r="Q21" s="268"/>
    </row>
    <row r="22" spans="5:17" x14ac:dyDescent="0.2">
      <c r="E22" s="89"/>
      <c r="F22" s="87"/>
      <c r="G22" s="87"/>
      <c r="H22" s="267"/>
      <c r="I22" s="267"/>
      <c r="J22" s="267"/>
      <c r="K22" s="267"/>
      <c r="L22" s="267"/>
      <c r="M22" s="267"/>
      <c r="N22" s="267"/>
      <c r="O22" s="267"/>
      <c r="P22" s="267"/>
      <c r="Q22" s="268"/>
    </row>
    <row r="23" spans="5:17" x14ac:dyDescent="0.2">
      <c r="E23" s="89"/>
      <c r="F23" s="87"/>
      <c r="G23" s="87"/>
      <c r="H23" s="87"/>
      <c r="I23" s="87"/>
      <c r="J23" s="87"/>
      <c r="K23" s="87"/>
      <c r="L23" s="87"/>
      <c r="O23" s="87"/>
      <c r="P23" s="87"/>
      <c r="Q23" s="90"/>
    </row>
    <row r="24" spans="5:17" x14ac:dyDescent="0.2">
      <c r="E24" s="100" t="s">
        <v>1289</v>
      </c>
      <c r="F24" s="101"/>
      <c r="G24" s="101"/>
      <c r="H24" s="101"/>
      <c r="I24" s="101"/>
      <c r="J24" s="101"/>
      <c r="K24" s="87"/>
      <c r="L24" s="87"/>
      <c r="O24" s="87"/>
      <c r="P24" s="87"/>
      <c r="Q24" s="90"/>
    </row>
    <row r="25" spans="5:17" x14ac:dyDescent="0.2">
      <c r="E25" s="100" t="s">
        <v>1290</v>
      </c>
      <c r="F25" s="101"/>
      <c r="G25" s="101"/>
      <c r="H25" s="101"/>
      <c r="I25" s="113"/>
      <c r="J25" s="101" t="s">
        <v>1286</v>
      </c>
      <c r="K25" s="87"/>
      <c r="L25" s="87"/>
      <c r="O25" s="87"/>
      <c r="P25" s="87"/>
      <c r="Q25" s="90"/>
    </row>
    <row r="26" spans="5:17" x14ac:dyDescent="0.2">
      <c r="E26" s="100" t="s">
        <v>1291</v>
      </c>
      <c r="F26" s="101"/>
      <c r="G26" s="101"/>
      <c r="H26" s="101"/>
      <c r="I26" s="113"/>
      <c r="J26" s="101" t="s">
        <v>1286</v>
      </c>
      <c r="K26" s="87"/>
      <c r="L26" s="87"/>
      <c r="O26" s="87"/>
      <c r="P26" s="87"/>
      <c r="Q26" s="90"/>
    </row>
    <row r="27" spans="5:17" x14ac:dyDescent="0.2">
      <c r="E27" s="100" t="s">
        <v>1292</v>
      </c>
      <c r="F27" s="101"/>
      <c r="G27" s="101"/>
      <c r="H27" s="101"/>
      <c r="I27" s="101"/>
      <c r="J27" s="101"/>
      <c r="K27" s="87"/>
      <c r="L27" s="87"/>
      <c r="O27" s="87"/>
      <c r="P27" s="87"/>
      <c r="Q27" s="90"/>
    </row>
    <row r="28" spans="5:17" x14ac:dyDescent="0.2">
      <c r="E28" s="100"/>
      <c r="F28" s="101"/>
      <c r="G28" s="101"/>
      <c r="H28" s="101"/>
      <c r="I28" s="101"/>
      <c r="J28" s="101"/>
      <c r="K28" s="87"/>
      <c r="L28" s="87"/>
      <c r="O28" s="87"/>
      <c r="P28" s="87"/>
      <c r="Q28" s="90"/>
    </row>
    <row r="29" spans="5:17" x14ac:dyDescent="0.2">
      <c r="E29" s="100"/>
      <c r="F29" s="101"/>
      <c r="G29" s="101"/>
      <c r="H29" s="101"/>
      <c r="I29" s="101"/>
      <c r="J29" s="101"/>
      <c r="K29" s="87"/>
      <c r="L29" s="87"/>
      <c r="O29" s="87"/>
      <c r="P29" s="87"/>
      <c r="Q29" s="90"/>
    </row>
    <row r="30" spans="5:17" x14ac:dyDescent="0.2">
      <c r="E30" s="100" t="s">
        <v>1293</v>
      </c>
      <c r="F30" s="101"/>
      <c r="G30" s="101"/>
      <c r="H30" s="101"/>
      <c r="I30" s="101"/>
      <c r="J30" s="101"/>
      <c r="K30" s="87"/>
      <c r="L30" s="87"/>
      <c r="O30" s="87"/>
      <c r="P30" s="87"/>
      <c r="Q30" s="90"/>
    </row>
    <row r="31" spans="5:17" x14ac:dyDescent="0.2">
      <c r="E31" s="100"/>
      <c r="F31" s="101"/>
      <c r="G31" s="101"/>
      <c r="H31" s="101"/>
      <c r="I31" s="101"/>
      <c r="J31" s="101"/>
      <c r="K31" s="87"/>
      <c r="L31" s="87"/>
      <c r="O31" s="87"/>
      <c r="P31" s="87"/>
      <c r="Q31" s="90"/>
    </row>
    <row r="32" spans="5:17" x14ac:dyDescent="0.2">
      <c r="E32" s="100" t="s">
        <v>1294</v>
      </c>
      <c r="F32" s="101"/>
      <c r="G32" s="101"/>
      <c r="H32" s="114" t="s">
        <v>1286</v>
      </c>
      <c r="I32" s="101"/>
      <c r="J32" s="101"/>
      <c r="K32" s="87"/>
      <c r="L32" s="87"/>
      <c r="O32" s="87"/>
      <c r="P32" s="87"/>
      <c r="Q32" s="90"/>
    </row>
    <row r="33" spans="5:17" x14ac:dyDescent="0.2">
      <c r="E33" s="100" t="s">
        <v>373</v>
      </c>
      <c r="F33" s="101"/>
      <c r="G33" s="101"/>
      <c r="H33" s="114" t="s">
        <v>1286</v>
      </c>
      <c r="I33" s="101"/>
      <c r="J33" s="101"/>
      <c r="K33" s="87"/>
      <c r="L33" s="87"/>
      <c r="O33" s="87"/>
      <c r="P33" s="87"/>
      <c r="Q33" s="90"/>
    </row>
    <row r="34" spans="5:17" x14ac:dyDescent="0.2">
      <c r="E34" s="100"/>
      <c r="F34" s="101"/>
      <c r="G34" s="101"/>
      <c r="H34" s="114"/>
      <c r="I34" s="101"/>
      <c r="J34" s="101"/>
      <c r="K34" s="87"/>
      <c r="L34" s="87"/>
      <c r="O34" s="87"/>
      <c r="P34" s="87"/>
      <c r="Q34" s="90"/>
    </row>
    <row r="35" spans="5:17" x14ac:dyDescent="0.2">
      <c r="E35" s="100"/>
      <c r="F35" s="101"/>
      <c r="G35" s="101"/>
      <c r="H35" s="114"/>
      <c r="I35" s="101"/>
      <c r="J35" s="101"/>
      <c r="K35" s="87"/>
      <c r="L35" s="87"/>
      <c r="O35" s="87"/>
      <c r="P35" s="87"/>
      <c r="Q35" s="90"/>
    </row>
    <row r="36" spans="5:17" x14ac:dyDescent="0.2">
      <c r="E36" s="100"/>
      <c r="F36" s="101"/>
      <c r="G36" s="101"/>
      <c r="H36" s="114"/>
      <c r="I36" s="101"/>
      <c r="J36" s="101"/>
      <c r="K36" s="87"/>
      <c r="L36" s="87"/>
      <c r="O36" s="87"/>
      <c r="P36" s="87"/>
      <c r="Q36" s="90"/>
    </row>
    <row r="37" spans="5:17" x14ac:dyDescent="0.2">
      <c r="E37" s="100"/>
      <c r="F37" s="101"/>
      <c r="G37" s="101"/>
      <c r="H37" s="114"/>
      <c r="I37" s="101"/>
      <c r="J37" s="101"/>
      <c r="K37" s="87"/>
      <c r="L37" s="87"/>
      <c r="O37" s="87"/>
      <c r="P37" s="87"/>
      <c r="Q37" s="90"/>
    </row>
    <row r="38" spans="5:17" x14ac:dyDescent="0.2">
      <c r="E38" s="100"/>
      <c r="F38" s="101"/>
      <c r="G38" s="101"/>
      <c r="H38" s="114"/>
      <c r="I38" s="101"/>
      <c r="J38" s="101"/>
      <c r="K38" s="87"/>
      <c r="L38" s="87"/>
      <c r="O38" s="87"/>
      <c r="P38" s="87"/>
      <c r="Q38" s="90"/>
    </row>
    <row r="39" spans="5:17" x14ac:dyDescent="0.2">
      <c r="E39" s="100"/>
      <c r="F39" s="101"/>
      <c r="G39" s="101"/>
      <c r="H39" s="114"/>
      <c r="I39" s="101"/>
      <c r="J39" s="101"/>
      <c r="K39" s="87"/>
      <c r="L39" s="87"/>
      <c r="O39" s="87"/>
      <c r="P39" s="87"/>
      <c r="Q39" s="90"/>
    </row>
    <row r="40" spans="5:17" x14ac:dyDescent="0.2">
      <c r="E40" s="100"/>
      <c r="F40" s="101"/>
      <c r="G40" s="101"/>
      <c r="H40" s="101"/>
      <c r="I40" s="101"/>
      <c r="J40" s="101"/>
      <c r="K40" s="87"/>
      <c r="L40" s="87"/>
      <c r="O40" s="87"/>
      <c r="P40" s="87"/>
      <c r="Q40" s="90"/>
    </row>
    <row r="41" spans="5:17" ht="15" thickBot="1" x14ac:dyDescent="0.25">
      <c r="E41" s="97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9"/>
    </row>
    <row r="42" spans="5:17" ht="15" thickTop="1" x14ac:dyDescent="0.2">
      <c r="E42" s="89"/>
      <c r="F42" s="87"/>
      <c r="G42" s="87"/>
      <c r="H42" s="87"/>
      <c r="I42" s="87"/>
      <c r="J42" s="87"/>
      <c r="K42" s="87"/>
      <c r="L42" s="87"/>
      <c r="O42" s="87"/>
      <c r="P42" s="87"/>
      <c r="Q42" s="90"/>
    </row>
    <row r="43" spans="5:17" x14ac:dyDescent="0.2">
      <c r="E43" s="89"/>
      <c r="F43" s="87"/>
      <c r="G43" s="87"/>
      <c r="H43" s="87"/>
      <c r="I43" s="87"/>
      <c r="J43" s="87"/>
      <c r="K43" s="87"/>
      <c r="L43" s="87"/>
      <c r="M43" s="88"/>
      <c r="N43" s="101" t="s">
        <v>1302</v>
      </c>
      <c r="P43" s="101"/>
      <c r="Q43" s="104"/>
    </row>
    <row r="44" spans="5:17" x14ac:dyDescent="0.2">
      <c r="E44" s="100" t="s">
        <v>1295</v>
      </c>
      <c r="F44" s="101"/>
      <c r="G44" s="101"/>
      <c r="H44" s="101"/>
      <c r="I44" s="115">
        <v>43922</v>
      </c>
      <c r="J44" s="101" t="s">
        <v>1299</v>
      </c>
      <c r="K44" s="101"/>
      <c r="L44" s="125">
        <v>43922</v>
      </c>
      <c r="M44" s="125"/>
      <c r="N44" s="101" t="s">
        <v>1303</v>
      </c>
      <c r="P44" s="101"/>
      <c r="Q44" s="104"/>
    </row>
    <row r="45" spans="5:17" x14ac:dyDescent="0.2">
      <c r="E45" s="100" t="s">
        <v>1296</v>
      </c>
      <c r="F45" s="101"/>
      <c r="G45" s="101"/>
      <c r="H45" s="101"/>
      <c r="I45" s="101"/>
      <c r="J45" s="101" t="s">
        <v>1300</v>
      </c>
      <c r="K45" s="101"/>
      <c r="L45" s="101"/>
      <c r="M45" s="88"/>
      <c r="N45" s="101" t="s">
        <v>1304</v>
      </c>
      <c r="P45" s="101"/>
      <c r="Q45" s="104"/>
    </row>
    <row r="46" spans="5:17" x14ac:dyDescent="0.2">
      <c r="E46" s="100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4"/>
    </row>
    <row r="47" spans="5:17" x14ac:dyDescent="0.2">
      <c r="E47" s="100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4"/>
    </row>
    <row r="48" spans="5:17" x14ac:dyDescent="0.2">
      <c r="E48" s="100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4"/>
    </row>
    <row r="49" spans="5:17" x14ac:dyDescent="0.2">
      <c r="E49" s="100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4"/>
    </row>
    <row r="50" spans="5:17" s="87" customFormat="1" x14ac:dyDescent="0.2">
      <c r="E50" s="100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4"/>
    </row>
    <row r="51" spans="5:17" s="87" customFormat="1" x14ac:dyDescent="0.2">
      <c r="E51" s="107" t="s">
        <v>1297</v>
      </c>
      <c r="F51" s="101"/>
      <c r="G51" s="101"/>
      <c r="H51" s="101"/>
      <c r="I51" s="101"/>
      <c r="J51" s="101" t="s">
        <v>1261</v>
      </c>
      <c r="K51" s="101"/>
      <c r="L51" s="101"/>
      <c r="N51" s="101" t="s">
        <v>1305</v>
      </c>
      <c r="O51" s="101"/>
      <c r="P51" s="101"/>
      <c r="Q51" s="104"/>
    </row>
    <row r="52" spans="5:17" s="87" customFormat="1" x14ac:dyDescent="0.2">
      <c r="E52" s="100" t="s">
        <v>1298</v>
      </c>
      <c r="F52" s="101"/>
      <c r="G52" s="101"/>
      <c r="H52" s="101"/>
      <c r="I52" s="101"/>
      <c r="J52" s="101"/>
      <c r="K52" s="101"/>
      <c r="L52" s="101"/>
      <c r="N52" s="101" t="s">
        <v>1306</v>
      </c>
      <c r="O52" s="101"/>
      <c r="P52" s="101"/>
      <c r="Q52" s="104"/>
    </row>
    <row r="53" spans="5:17" s="87" customFormat="1" x14ac:dyDescent="0.2">
      <c r="E53" s="100"/>
      <c r="F53" s="101"/>
      <c r="G53" s="101"/>
      <c r="H53" s="101"/>
      <c r="I53" s="101"/>
      <c r="J53" s="101"/>
      <c r="K53" s="101"/>
      <c r="L53" s="101"/>
      <c r="Q53" s="90"/>
    </row>
    <row r="54" spans="5:17" s="87" customFormat="1" x14ac:dyDescent="0.2">
      <c r="E54" s="100"/>
      <c r="F54" s="101"/>
      <c r="G54" s="101"/>
      <c r="H54" s="101"/>
      <c r="I54" s="101"/>
      <c r="J54" s="101"/>
      <c r="K54" s="101"/>
      <c r="L54" s="101"/>
      <c r="Q54" s="90"/>
    </row>
    <row r="55" spans="5:17" s="87" customFormat="1" x14ac:dyDescent="0.2">
      <c r="E55" s="100"/>
      <c r="F55" s="101"/>
      <c r="G55" s="101"/>
      <c r="H55" s="101"/>
      <c r="I55" s="101"/>
      <c r="J55" s="101"/>
      <c r="K55" s="101"/>
      <c r="L55" s="101"/>
      <c r="Q55" s="90"/>
    </row>
    <row r="56" spans="5:17" s="87" customFormat="1" x14ac:dyDescent="0.2">
      <c r="E56" s="100"/>
      <c r="F56" s="101"/>
      <c r="G56" s="101"/>
      <c r="H56" s="101"/>
      <c r="I56" s="101"/>
      <c r="J56" s="101"/>
      <c r="K56" s="101"/>
      <c r="L56" s="101"/>
      <c r="Q56" s="90"/>
    </row>
    <row r="57" spans="5:17" s="87" customFormat="1" ht="15" thickBot="1" x14ac:dyDescent="0.25">
      <c r="E57" s="105"/>
      <c r="F57" s="106"/>
      <c r="G57" s="106"/>
      <c r="H57" s="106"/>
      <c r="I57" s="106"/>
      <c r="J57" s="106"/>
      <c r="K57" s="106"/>
      <c r="L57" s="106"/>
      <c r="M57" s="98"/>
      <c r="N57" s="98"/>
      <c r="O57" s="98"/>
      <c r="P57" s="98"/>
      <c r="Q57" s="99"/>
    </row>
    <row r="58" spans="5:17" ht="15" thickTop="1" x14ac:dyDescent="0.2"/>
  </sheetData>
  <mergeCells count="8">
    <mergeCell ref="E10:Q10"/>
    <mergeCell ref="E13:Q14"/>
    <mergeCell ref="H17:Q22"/>
    <mergeCell ref="E11:F11"/>
    <mergeCell ref="E3:Q3"/>
    <mergeCell ref="E4:Q4"/>
    <mergeCell ref="E6:Q6"/>
    <mergeCell ref="J7:K7"/>
  </mergeCells>
  <printOptions horizontalCentered="1"/>
  <pageMargins left="0.39370078740157483" right="0.39370078740157483" top="0.78740157480314965" bottom="0.39370078740157483" header="0.31496062992125984" footer="0.31496062992125984"/>
  <pageSetup paperSize="9" scale="83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B88CA-23CF-4ADE-9C42-7F62EC2E413E}">
  <sheetPr codeName="sh_tblKuitansi">
    <tabColor theme="4" tint="-0.249977111117893"/>
  </sheetPr>
  <dimension ref="A1:W8"/>
  <sheetViews>
    <sheetView showGridLines="0" workbookViewId="0">
      <selection activeCell="D12" sqref="D12"/>
    </sheetView>
  </sheetViews>
  <sheetFormatPr defaultRowHeight="15" x14ac:dyDescent="0.25"/>
  <cols>
    <col min="1" max="1" width="21.5703125" style="41" bestFit="1" customWidth="1"/>
    <col min="2" max="2" width="15.7109375" bestFit="1" customWidth="1"/>
    <col min="3" max="3" width="13.42578125" style="41" bestFit="1" customWidth="1"/>
    <col min="4" max="4" width="27.28515625" bestFit="1" customWidth="1"/>
    <col min="5" max="5" width="47.5703125" bestFit="1" customWidth="1"/>
    <col min="6" max="6" width="47.28515625" bestFit="1" customWidth="1"/>
    <col min="7" max="7" width="15.85546875" bestFit="1" customWidth="1"/>
    <col min="8" max="8" width="11.85546875" bestFit="1" customWidth="1"/>
    <col min="9" max="12" width="11.85546875" customWidth="1"/>
    <col min="13" max="13" width="9" bestFit="1" customWidth="1"/>
    <col min="14" max="17" width="11" bestFit="1" customWidth="1"/>
    <col min="18" max="18" width="39.7109375" bestFit="1" customWidth="1"/>
    <col min="19" max="19" width="50" bestFit="1" customWidth="1"/>
    <col min="20" max="20" width="43.7109375" bestFit="1" customWidth="1"/>
    <col min="21" max="21" width="49.5703125" bestFit="1" customWidth="1"/>
    <col min="22" max="22" width="38.42578125" bestFit="1" customWidth="1"/>
    <col min="23" max="23" width="43.28515625" bestFit="1" customWidth="1"/>
  </cols>
  <sheetData>
    <row r="1" spans="1:23" x14ac:dyDescent="0.25">
      <c r="A1" s="289" t="s">
        <v>1223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</row>
    <row r="2" spans="1:23" x14ac:dyDescent="0.25">
      <c r="A2" s="41" t="s">
        <v>1269</v>
      </c>
      <c r="B2" s="41" t="str">
        <f>TEXT(MAX(dd_kuitansi[No Kuitansi])+1,"000000")</f>
        <v>000006</v>
      </c>
    </row>
    <row r="3" spans="1:23" s="41" customFormat="1" x14ac:dyDescent="0.25">
      <c r="A3" s="41" t="s">
        <v>1211</v>
      </c>
      <c r="B3" s="41" t="s">
        <v>1212</v>
      </c>
      <c r="C3" s="41" t="s">
        <v>1268</v>
      </c>
      <c r="D3" s="41" t="s">
        <v>1259</v>
      </c>
      <c r="E3" s="41" t="s">
        <v>1210</v>
      </c>
      <c r="F3" s="41" t="s">
        <v>1213</v>
      </c>
      <c r="G3" s="41" t="s">
        <v>1260</v>
      </c>
      <c r="H3" s="41" t="s">
        <v>378</v>
      </c>
      <c r="I3" s="173" t="s">
        <v>374</v>
      </c>
      <c r="J3" s="173" t="s">
        <v>1261</v>
      </c>
      <c r="K3" s="173" t="s">
        <v>1262</v>
      </c>
      <c r="L3" s="173" t="s">
        <v>1267</v>
      </c>
      <c r="M3" s="41" t="s">
        <v>1216</v>
      </c>
      <c r="N3" s="41" t="s">
        <v>1263</v>
      </c>
      <c r="O3" s="41" t="s">
        <v>1264</v>
      </c>
      <c r="P3" s="41" t="s">
        <v>1265</v>
      </c>
      <c r="Q3" s="41" t="s">
        <v>1266</v>
      </c>
      <c r="R3" s="173" t="s">
        <v>1340</v>
      </c>
      <c r="S3" s="173" t="s">
        <v>1341</v>
      </c>
      <c r="T3" s="173" t="s">
        <v>1342</v>
      </c>
      <c r="U3" s="173" t="s">
        <v>1343</v>
      </c>
      <c r="V3" s="173" t="s">
        <v>1344</v>
      </c>
      <c r="W3" s="173" t="s">
        <v>1345</v>
      </c>
    </row>
    <row r="4" spans="1:23" ht="30" x14ac:dyDescent="0.25">
      <c r="A4" s="197">
        <v>1</v>
      </c>
      <c r="B4" s="198">
        <v>43932</v>
      </c>
      <c r="C4" s="199" t="s">
        <v>1362</v>
      </c>
      <c r="D4" s="200" t="s">
        <v>697</v>
      </c>
      <c r="E4" s="201" t="s">
        <v>1366</v>
      </c>
      <c r="F4" s="201" t="s">
        <v>1365</v>
      </c>
      <c r="G4" s="200" t="s">
        <v>1273</v>
      </c>
      <c r="H4" s="202">
        <v>6770000</v>
      </c>
      <c r="I4" s="202" t="s">
        <v>1383</v>
      </c>
      <c r="J4" s="203" t="s">
        <v>1363</v>
      </c>
      <c r="K4" s="204">
        <v>4</v>
      </c>
      <c r="L4" s="204">
        <v>1</v>
      </c>
      <c r="M4" s="202"/>
      <c r="N4" s="202"/>
      <c r="O4" s="202"/>
      <c r="P4" s="202"/>
      <c r="Q4" s="202"/>
      <c r="R4" s="202" t="s">
        <v>1364</v>
      </c>
      <c r="S4" s="202" t="s">
        <v>1367</v>
      </c>
      <c r="T4" s="202" t="s">
        <v>1368</v>
      </c>
      <c r="U4" s="202" t="s">
        <v>1369</v>
      </c>
      <c r="V4" s="202" t="s">
        <v>1370</v>
      </c>
      <c r="W4" s="202" t="s">
        <v>1371</v>
      </c>
    </row>
    <row r="5" spans="1:23" ht="30" x14ac:dyDescent="0.25">
      <c r="A5" s="197">
        <v>2</v>
      </c>
      <c r="B5" s="198">
        <v>43932</v>
      </c>
      <c r="C5" s="199" t="s">
        <v>1362</v>
      </c>
      <c r="D5" s="200" t="s">
        <v>694</v>
      </c>
      <c r="E5" s="201" t="s">
        <v>1366</v>
      </c>
      <c r="F5" s="201" t="s">
        <v>1378</v>
      </c>
      <c r="G5" s="200" t="s">
        <v>1275</v>
      </c>
      <c r="H5" s="202">
        <v>4225000</v>
      </c>
      <c r="I5" s="202" t="s">
        <v>1385</v>
      </c>
      <c r="J5" s="203" t="s">
        <v>1363</v>
      </c>
      <c r="K5" s="204">
        <v>2</v>
      </c>
      <c r="L5" s="204">
        <v>1</v>
      </c>
      <c r="M5" s="202"/>
      <c r="N5" s="202"/>
      <c r="O5" s="202"/>
      <c r="P5" s="202"/>
      <c r="Q5" s="202"/>
      <c r="R5" s="202" t="s">
        <v>1364</v>
      </c>
      <c r="S5" s="202" t="s">
        <v>1367</v>
      </c>
      <c r="T5" s="202" t="s">
        <v>1368</v>
      </c>
      <c r="U5" s="202" t="s">
        <v>1369</v>
      </c>
      <c r="V5" s="202" t="s">
        <v>1370</v>
      </c>
      <c r="W5" s="202" t="s">
        <v>1372</v>
      </c>
    </row>
    <row r="6" spans="1:23" ht="30" x14ac:dyDescent="0.25">
      <c r="A6" s="197">
        <v>3</v>
      </c>
      <c r="B6" s="198">
        <v>43932</v>
      </c>
      <c r="C6" s="199" t="s">
        <v>1362</v>
      </c>
      <c r="D6" s="200" t="s">
        <v>697</v>
      </c>
      <c r="E6" s="201" t="s">
        <v>1366</v>
      </c>
      <c r="F6" s="201" t="s">
        <v>1365</v>
      </c>
      <c r="G6" s="200" t="s">
        <v>1273</v>
      </c>
      <c r="H6" s="202">
        <v>1150000</v>
      </c>
      <c r="I6" s="202" t="s">
        <v>1383</v>
      </c>
      <c r="J6" s="203" t="s">
        <v>1363</v>
      </c>
      <c r="K6" s="204">
        <v>2</v>
      </c>
      <c r="L6" s="204">
        <v>1</v>
      </c>
      <c r="M6" s="202"/>
      <c r="N6" s="202"/>
      <c r="O6" s="202"/>
      <c r="P6" s="202"/>
      <c r="Q6" s="202"/>
      <c r="R6" s="202" t="s">
        <v>1364</v>
      </c>
      <c r="S6" s="202" t="s">
        <v>1367</v>
      </c>
      <c r="T6" s="202" t="s">
        <v>1368</v>
      </c>
      <c r="U6" s="202" t="s">
        <v>1369</v>
      </c>
      <c r="V6" s="202" t="s">
        <v>1370</v>
      </c>
      <c r="W6" s="202" t="s">
        <v>1371</v>
      </c>
    </row>
    <row r="7" spans="1:23" ht="30" x14ac:dyDescent="0.25">
      <c r="A7" s="197">
        <v>4</v>
      </c>
      <c r="B7" s="198">
        <v>43932</v>
      </c>
      <c r="C7" s="199" t="s">
        <v>1362</v>
      </c>
      <c r="D7" s="200" t="s">
        <v>686</v>
      </c>
      <c r="E7" s="201" t="s">
        <v>1381</v>
      </c>
      <c r="F7" s="201" t="s">
        <v>1379</v>
      </c>
      <c r="G7" s="200" t="s">
        <v>1273</v>
      </c>
      <c r="H7" s="202">
        <v>780000</v>
      </c>
      <c r="I7" s="202" t="s">
        <v>1382</v>
      </c>
      <c r="J7" s="203" t="s">
        <v>1363</v>
      </c>
      <c r="K7" s="204">
        <v>1</v>
      </c>
      <c r="L7" s="204">
        <v>1</v>
      </c>
      <c r="M7" s="202"/>
      <c r="N7" s="202"/>
      <c r="O7" s="202"/>
      <c r="P7" s="202"/>
      <c r="Q7" s="202"/>
      <c r="R7" s="202" t="s">
        <v>1364</v>
      </c>
      <c r="S7" s="202" t="s">
        <v>1367</v>
      </c>
      <c r="T7" s="202" t="s">
        <v>1368</v>
      </c>
      <c r="U7" s="202" t="s">
        <v>1369</v>
      </c>
      <c r="V7" s="202" t="s">
        <v>1386</v>
      </c>
      <c r="W7" s="202" t="s">
        <v>1371</v>
      </c>
    </row>
    <row r="8" spans="1:23" ht="30" x14ac:dyDescent="0.25">
      <c r="A8" s="197">
        <v>5</v>
      </c>
      <c r="B8" s="198">
        <v>43932</v>
      </c>
      <c r="C8" s="199" t="s">
        <v>1362</v>
      </c>
      <c r="D8" s="200" t="s">
        <v>694</v>
      </c>
      <c r="E8" s="201" t="s">
        <v>1366</v>
      </c>
      <c r="F8" s="201" t="s">
        <v>1378</v>
      </c>
      <c r="G8" s="200" t="s">
        <v>1273</v>
      </c>
      <c r="H8" s="202">
        <v>24000</v>
      </c>
      <c r="I8" s="202" t="s">
        <v>1388</v>
      </c>
      <c r="J8" s="203" t="s">
        <v>1363</v>
      </c>
      <c r="K8" s="204">
        <v>1</v>
      </c>
      <c r="L8" s="204">
        <v>1</v>
      </c>
      <c r="M8" s="202"/>
      <c r="N8" s="202"/>
      <c r="O8" s="202"/>
      <c r="P8" s="202"/>
      <c r="Q8" s="202"/>
      <c r="R8" s="202" t="s">
        <v>1364</v>
      </c>
      <c r="S8" s="202" t="s">
        <v>1367</v>
      </c>
      <c r="T8" s="202" t="s">
        <v>1368</v>
      </c>
      <c r="U8" s="202" t="s">
        <v>1369</v>
      </c>
      <c r="V8" s="202" t="s">
        <v>1370</v>
      </c>
      <c r="W8" s="202" t="s">
        <v>1372</v>
      </c>
    </row>
  </sheetData>
  <mergeCells count="1">
    <mergeCell ref="A1:Q1"/>
  </mergeCells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F436-769D-4AA9-A979-07C8DF9C3200}">
  <sheetPr codeName="sh_tblKuitansi_Detil">
    <tabColor theme="4" tint="-0.249977111117893"/>
  </sheetPr>
  <dimension ref="A1:F13"/>
  <sheetViews>
    <sheetView showGridLines="0" workbookViewId="0">
      <selection activeCell="E15" sqref="E15"/>
    </sheetView>
  </sheetViews>
  <sheetFormatPr defaultRowHeight="15" x14ac:dyDescent="0.25"/>
  <cols>
    <col min="1" max="1" width="13.42578125" style="41" bestFit="1" customWidth="1"/>
    <col min="2" max="2" width="14.85546875" bestFit="1" customWidth="1"/>
    <col min="3" max="3" width="9.28515625" bestFit="1" customWidth="1"/>
    <col min="4" max="4" width="10.28515625" bestFit="1" customWidth="1"/>
    <col min="5" max="5" width="11.5703125" bestFit="1" customWidth="1"/>
    <col min="6" max="6" width="15" bestFit="1" customWidth="1"/>
  </cols>
  <sheetData>
    <row r="1" spans="1:6" x14ac:dyDescent="0.25">
      <c r="A1" s="290" t="s">
        <v>1224</v>
      </c>
      <c r="B1" s="290"/>
      <c r="C1" s="290"/>
      <c r="D1" s="290"/>
      <c r="E1" s="290"/>
      <c r="F1" s="290"/>
    </row>
    <row r="3" spans="1:6" x14ac:dyDescent="0.25">
      <c r="A3" s="41" t="s">
        <v>1211</v>
      </c>
      <c r="B3" t="s">
        <v>1214</v>
      </c>
      <c r="C3" t="s">
        <v>1215</v>
      </c>
      <c r="D3" t="s">
        <v>1221</v>
      </c>
      <c r="E3" t="s">
        <v>377</v>
      </c>
      <c r="F3" t="s">
        <v>1225</v>
      </c>
    </row>
    <row r="4" spans="1:6" x14ac:dyDescent="0.25">
      <c r="A4" s="84">
        <v>11</v>
      </c>
      <c r="B4" s="83" t="s">
        <v>1232</v>
      </c>
      <c r="C4" s="83" t="s">
        <v>1358</v>
      </c>
      <c r="D4" s="85">
        <v>9</v>
      </c>
      <c r="E4" s="42">
        <v>30000</v>
      </c>
      <c r="F4" s="42">
        <v>270000</v>
      </c>
    </row>
    <row r="5" spans="1:6" x14ac:dyDescent="0.25">
      <c r="A5" s="84">
        <v>11</v>
      </c>
      <c r="B5" s="83" t="s">
        <v>1270</v>
      </c>
      <c r="C5" s="83" t="s">
        <v>1360</v>
      </c>
      <c r="D5" s="85">
        <v>40</v>
      </c>
      <c r="E5" s="42">
        <v>50000</v>
      </c>
      <c r="F5" s="42">
        <v>2000000</v>
      </c>
    </row>
    <row r="6" spans="1:6" x14ac:dyDescent="0.25">
      <c r="A6" s="84">
        <v>11</v>
      </c>
      <c r="B6" s="83" t="s">
        <v>1271</v>
      </c>
      <c r="C6" s="83" t="s">
        <v>1360</v>
      </c>
      <c r="D6" s="85">
        <v>2</v>
      </c>
      <c r="E6" s="42">
        <v>1000000</v>
      </c>
      <c r="F6" s="42">
        <v>2000000</v>
      </c>
    </row>
    <row r="7" spans="1:6" x14ac:dyDescent="0.25">
      <c r="A7" s="84">
        <v>11</v>
      </c>
      <c r="B7" s="83" t="s">
        <v>1272</v>
      </c>
      <c r="C7" s="83" t="s">
        <v>1360</v>
      </c>
      <c r="D7" s="85">
        <v>1</v>
      </c>
      <c r="E7" s="42">
        <v>2500000</v>
      </c>
      <c r="F7" s="42">
        <v>2500000</v>
      </c>
    </row>
    <row r="8" spans="1:6" x14ac:dyDescent="0.25">
      <c r="A8" s="84">
        <v>2</v>
      </c>
      <c r="B8" s="83" t="s">
        <v>1236</v>
      </c>
      <c r="C8" s="83" t="s">
        <v>1361</v>
      </c>
      <c r="D8" s="85">
        <v>9</v>
      </c>
      <c r="E8" s="42">
        <v>25000</v>
      </c>
      <c r="F8" s="42">
        <v>225000</v>
      </c>
    </row>
    <row r="9" spans="1:6" x14ac:dyDescent="0.25">
      <c r="A9" s="84">
        <v>2</v>
      </c>
      <c r="B9" s="83" t="s">
        <v>1271</v>
      </c>
      <c r="C9" s="83" t="s">
        <v>1360</v>
      </c>
      <c r="D9" s="85">
        <v>4</v>
      </c>
      <c r="E9" s="42">
        <v>1000000</v>
      </c>
      <c r="F9" s="42">
        <v>4000000</v>
      </c>
    </row>
    <row r="10" spans="1:6" x14ac:dyDescent="0.25">
      <c r="A10" s="84">
        <v>3</v>
      </c>
      <c r="B10" s="83" t="s">
        <v>1239</v>
      </c>
      <c r="C10" s="83" t="s">
        <v>1359</v>
      </c>
      <c r="D10" s="85">
        <v>50</v>
      </c>
      <c r="E10" s="42">
        <v>12000</v>
      </c>
      <c r="F10" s="42">
        <v>600000</v>
      </c>
    </row>
    <row r="11" spans="1:6" x14ac:dyDescent="0.25">
      <c r="A11" s="84">
        <v>3</v>
      </c>
      <c r="B11" s="83" t="s">
        <v>1236</v>
      </c>
      <c r="C11" s="83" t="s">
        <v>1361</v>
      </c>
      <c r="D11" s="85">
        <v>22</v>
      </c>
      <c r="E11" s="42">
        <v>25000</v>
      </c>
      <c r="F11" s="42">
        <v>550000</v>
      </c>
    </row>
    <row r="12" spans="1:6" x14ac:dyDescent="0.25">
      <c r="A12" s="84">
        <v>4</v>
      </c>
      <c r="B12" s="83" t="s">
        <v>1233</v>
      </c>
      <c r="C12" s="83" t="s">
        <v>1360</v>
      </c>
      <c r="D12" s="85">
        <v>12</v>
      </c>
      <c r="E12" s="42">
        <v>65000</v>
      </c>
      <c r="F12" s="42">
        <v>780000</v>
      </c>
    </row>
    <row r="13" spans="1:6" x14ac:dyDescent="0.25">
      <c r="A13" s="84">
        <v>5</v>
      </c>
      <c r="B13" s="83" t="s">
        <v>1239</v>
      </c>
      <c r="C13" s="83" t="s">
        <v>1359</v>
      </c>
      <c r="D13" s="85">
        <v>2</v>
      </c>
      <c r="E13" s="42">
        <v>12000</v>
      </c>
      <c r="F13" s="42">
        <v>24000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E01CD-F81D-4146-9F58-CBABDB39D564}">
  <sheetPr codeName="sh_tblBarang">
    <tabColor theme="4" tint="-0.249977111117893"/>
  </sheetPr>
  <dimension ref="B2:G9"/>
  <sheetViews>
    <sheetView showGridLines="0" workbookViewId="0">
      <selection activeCell="E17" sqref="E17"/>
    </sheetView>
  </sheetViews>
  <sheetFormatPr defaultRowHeight="15" x14ac:dyDescent="0.25"/>
  <cols>
    <col min="2" max="2" width="17.140625" customWidth="1"/>
    <col min="3" max="3" width="10.5703125" customWidth="1"/>
    <col min="4" max="4" width="12.85546875" style="42" customWidth="1"/>
    <col min="5" max="6" width="22" customWidth="1"/>
    <col min="7" max="7" width="15.140625" customWidth="1"/>
  </cols>
  <sheetData>
    <row r="2" spans="2:7" x14ac:dyDescent="0.25">
      <c r="B2" t="s">
        <v>1226</v>
      </c>
      <c r="C2" t="s">
        <v>1227</v>
      </c>
      <c r="D2" s="42" t="s">
        <v>1228</v>
      </c>
      <c r="E2" t="s">
        <v>1229</v>
      </c>
      <c r="F2" t="s">
        <v>1230</v>
      </c>
      <c r="G2" t="s">
        <v>1231</v>
      </c>
    </row>
    <row r="3" spans="2:7" x14ac:dyDescent="0.25">
      <c r="B3" t="s">
        <v>1232</v>
      </c>
      <c r="C3" t="s">
        <v>318</v>
      </c>
      <c r="D3" s="42">
        <v>30000</v>
      </c>
      <c r="E3">
        <v>0</v>
      </c>
      <c r="F3">
        <v>0</v>
      </c>
      <c r="G3">
        <f>Master_Barang[[#This Row],[JML BARANG TERIMA]]-Master_Barang[[#This Row],[JML BARANG KELUAR]]</f>
        <v>0</v>
      </c>
    </row>
    <row r="4" spans="2:7" x14ac:dyDescent="0.25">
      <c r="B4" t="s">
        <v>1233</v>
      </c>
      <c r="C4" t="s">
        <v>1234</v>
      </c>
      <c r="D4" s="42">
        <v>65000</v>
      </c>
      <c r="E4">
        <v>0</v>
      </c>
      <c r="F4">
        <v>0</v>
      </c>
      <c r="G4">
        <f>Master_Barang[[#This Row],[JML BARANG TERIMA]]-Master_Barang[[#This Row],[JML BARANG KELUAR]]</f>
        <v>0</v>
      </c>
    </row>
    <row r="5" spans="2:7" x14ac:dyDescent="0.25">
      <c r="B5" t="s">
        <v>1236</v>
      </c>
      <c r="C5" t="s">
        <v>1237</v>
      </c>
      <c r="D5" s="42">
        <v>25000</v>
      </c>
      <c r="G5">
        <f>Master_Barang[[#This Row],[JML BARANG TERIMA]]-Master_Barang[[#This Row],[JML BARANG KELUAR]]</f>
        <v>0</v>
      </c>
    </row>
    <row r="6" spans="2:7" x14ac:dyDescent="0.25">
      <c r="B6" t="s">
        <v>1239</v>
      </c>
      <c r="C6" t="s">
        <v>1240</v>
      </c>
      <c r="D6" s="42">
        <v>12000</v>
      </c>
      <c r="G6">
        <f>Master_Barang[[#This Row],[JML BARANG TERIMA]]-Master_Barang[[#This Row],[JML BARANG KELUAR]]</f>
        <v>0</v>
      </c>
    </row>
    <row r="7" spans="2:7" x14ac:dyDescent="0.25">
      <c r="B7" t="s">
        <v>1270</v>
      </c>
      <c r="C7" t="s">
        <v>1234</v>
      </c>
      <c r="D7" s="42">
        <v>50000</v>
      </c>
      <c r="G7">
        <f>Master_Barang[[#This Row],[JML BARANG TERIMA]]-Master_Barang[[#This Row],[JML BARANG KELUAR]]</f>
        <v>0</v>
      </c>
    </row>
    <row r="8" spans="2:7" x14ac:dyDescent="0.25">
      <c r="B8" t="s">
        <v>1271</v>
      </c>
      <c r="C8" t="s">
        <v>1234</v>
      </c>
      <c r="D8" s="42">
        <v>1000000</v>
      </c>
      <c r="G8">
        <f>Master_Barang[[#This Row],[JML BARANG TERIMA]]-Master_Barang[[#This Row],[JML BARANG KELUAR]]</f>
        <v>0</v>
      </c>
    </row>
    <row r="9" spans="2:7" x14ac:dyDescent="0.25">
      <c r="B9" t="s">
        <v>1272</v>
      </c>
      <c r="C9" t="s">
        <v>1234</v>
      </c>
      <c r="D9" s="42">
        <v>2500000</v>
      </c>
      <c r="G9">
        <f>Master_Barang[[#This Row],[JML BARANG TERIMA]]-Master_Barang[[#This Row],[JML BARANG KELUAR]]</f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5E158-7C33-4907-9F5C-2323247AD2D0}">
  <sheetPr codeName="sh_tblSupplier">
    <tabColor theme="4" tint="-0.249977111117893"/>
  </sheetPr>
  <dimension ref="A3:F6"/>
  <sheetViews>
    <sheetView showGridLines="0" workbookViewId="0">
      <selection activeCell="J26" sqref="J26"/>
    </sheetView>
  </sheetViews>
  <sheetFormatPr defaultRowHeight="15" x14ac:dyDescent="0.25"/>
  <cols>
    <col min="2" max="2" width="19" customWidth="1"/>
    <col min="3" max="3" width="9.7109375" bestFit="1" customWidth="1"/>
    <col min="4" max="4" width="13.140625" bestFit="1" customWidth="1"/>
    <col min="5" max="5" width="17.42578125" bestFit="1" customWidth="1"/>
    <col min="6" max="6" width="12.140625" bestFit="1" customWidth="1"/>
  </cols>
  <sheetData>
    <row r="3" spans="1:6" x14ac:dyDescent="0.25">
      <c r="A3" t="s">
        <v>1238</v>
      </c>
      <c r="B3" t="s">
        <v>1245</v>
      </c>
      <c r="C3" t="s">
        <v>1246</v>
      </c>
      <c r="D3" t="s">
        <v>1247</v>
      </c>
      <c r="E3" t="s">
        <v>1252</v>
      </c>
      <c r="F3" t="s">
        <v>1248</v>
      </c>
    </row>
    <row r="4" spans="1:6" x14ac:dyDescent="0.25">
      <c r="A4" s="44">
        <v>1</v>
      </c>
      <c r="B4" t="s">
        <v>1249</v>
      </c>
      <c r="C4" t="s">
        <v>1250</v>
      </c>
      <c r="D4" s="43" t="s">
        <v>1251</v>
      </c>
      <c r="F4" s="42"/>
    </row>
    <row r="5" spans="1:6" x14ac:dyDescent="0.25">
      <c r="A5" s="44">
        <v>2</v>
      </c>
      <c r="B5" t="s">
        <v>1273</v>
      </c>
      <c r="C5" t="s">
        <v>1274</v>
      </c>
      <c r="D5">
        <v>81312344552</v>
      </c>
      <c r="F5" s="42"/>
    </row>
    <row r="6" spans="1:6" x14ac:dyDescent="0.25">
      <c r="A6" s="44">
        <v>3</v>
      </c>
      <c r="B6" t="s">
        <v>1275</v>
      </c>
      <c r="C6" t="s">
        <v>1276</v>
      </c>
      <c r="D6">
        <v>22112211220</v>
      </c>
      <c r="F6" s="4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7950C-48E8-43F5-86A5-3079C0828D58}">
  <sheetPr codeName="sh_transRKAKL">
    <tabColor rgb="FFFF0000"/>
    <pageSetUpPr fitToPage="1"/>
  </sheetPr>
  <dimension ref="A1:U894"/>
  <sheetViews>
    <sheetView showGridLines="0" zoomScale="80" zoomScaleNormal="80" workbookViewId="0">
      <selection activeCell="O15" sqref="O15"/>
    </sheetView>
  </sheetViews>
  <sheetFormatPr defaultRowHeight="15" x14ac:dyDescent="0.25"/>
  <cols>
    <col min="1" max="1" width="28.85546875" style="7" customWidth="1"/>
    <col min="2" max="2" width="14.7109375" style="2" customWidth="1"/>
    <col min="3" max="3" width="54.5703125" style="1" customWidth="1"/>
    <col min="4" max="4" width="7.140625" style="3" bestFit="1" customWidth="1"/>
    <col min="5" max="5" width="8.85546875" style="4" bestFit="1" customWidth="1"/>
    <col min="6" max="6" width="15.140625" style="3" bestFit="1" customWidth="1"/>
    <col min="7" max="8" width="16.85546875" style="3" bestFit="1" customWidth="1"/>
    <col min="9" max="9" width="17.7109375" style="3" customWidth="1"/>
    <col min="10" max="10" width="16.28515625" style="3" bestFit="1" customWidth="1"/>
    <col min="11" max="11" width="9.140625" style="7"/>
    <col min="12" max="12" width="15.7109375" style="7" customWidth="1"/>
    <col min="13" max="13" width="12.140625" style="181" bestFit="1" customWidth="1"/>
    <col min="14" max="16384" width="9.140625" style="7"/>
  </cols>
  <sheetData>
    <row r="1" spans="1:21" x14ac:dyDescent="0.25">
      <c r="A1" s="7">
        <v>34</v>
      </c>
      <c r="B1" s="185">
        <v>34</v>
      </c>
      <c r="C1" s="185"/>
      <c r="D1" s="185"/>
      <c r="E1" s="185"/>
      <c r="F1" s="185"/>
      <c r="G1" s="185"/>
      <c r="H1" s="185"/>
      <c r="I1" s="185"/>
      <c r="J1" s="185"/>
    </row>
    <row r="2" spans="1:21" ht="15.75" thickBot="1" x14ac:dyDescent="0.3">
      <c r="B2" s="38"/>
      <c r="C2" s="38"/>
      <c r="D2" s="38"/>
      <c r="E2" s="38"/>
      <c r="F2" s="38"/>
      <c r="G2" s="38"/>
      <c r="H2" s="38"/>
      <c r="I2" s="38"/>
      <c r="J2" s="38"/>
    </row>
    <row r="3" spans="1:21" ht="16.5" thickBot="1" x14ac:dyDescent="0.25">
      <c r="B3" s="47"/>
      <c r="C3" s="312" t="s">
        <v>1355</v>
      </c>
      <c r="D3" s="312"/>
      <c r="E3" s="189"/>
      <c r="F3" s="299" t="s">
        <v>1257</v>
      </c>
      <c r="G3" s="300"/>
      <c r="I3" s="47"/>
      <c r="J3" s="47"/>
      <c r="L3" s="174" t="s">
        <v>1210</v>
      </c>
      <c r="M3" s="182" t="s">
        <v>2</v>
      </c>
      <c r="N3" s="296" t="s">
        <v>3</v>
      </c>
      <c r="O3" s="297"/>
      <c r="P3" s="297"/>
      <c r="Q3" s="297"/>
      <c r="R3" s="297"/>
      <c r="S3" s="297"/>
      <c r="T3" s="297"/>
      <c r="U3" s="298"/>
    </row>
    <row r="4" spans="1:21" ht="17.25" thickTop="1" thickBot="1" x14ac:dyDescent="0.25">
      <c r="B4" s="47"/>
      <c r="C4" s="312"/>
      <c r="D4" s="312"/>
      <c r="E4" s="188"/>
      <c r="F4" s="303" t="s">
        <v>1258</v>
      </c>
      <c r="G4" s="304"/>
      <c r="H4" s="304"/>
      <c r="I4" s="304"/>
      <c r="J4" s="305"/>
      <c r="L4" s="175" t="s">
        <v>1346</v>
      </c>
      <c r="M4" s="182" t="s">
        <v>26</v>
      </c>
      <c r="N4" s="296" t="s">
        <v>27</v>
      </c>
      <c r="O4" s="297"/>
      <c r="P4" s="297"/>
      <c r="Q4" s="297"/>
      <c r="R4" s="297"/>
      <c r="S4" s="297"/>
      <c r="T4" s="297"/>
      <c r="U4" s="298"/>
    </row>
    <row r="5" spans="1:21" ht="17.25" thickTop="1" thickBot="1" x14ac:dyDescent="0.25">
      <c r="B5" s="47"/>
      <c r="C5" s="312"/>
      <c r="D5" s="312"/>
      <c r="E5" s="188"/>
      <c r="F5" s="306"/>
      <c r="G5" s="307"/>
      <c r="H5" s="307"/>
      <c r="I5" s="307"/>
      <c r="J5" s="308"/>
      <c r="L5" s="176" t="s">
        <v>1347</v>
      </c>
      <c r="M5" s="182" t="s">
        <v>29</v>
      </c>
      <c r="N5" s="296" t="s">
        <v>30</v>
      </c>
      <c r="O5" s="297"/>
      <c r="P5" s="297"/>
      <c r="Q5" s="297"/>
      <c r="R5" s="297"/>
      <c r="S5" s="297"/>
      <c r="T5" s="297"/>
      <c r="U5" s="298"/>
    </row>
    <row r="6" spans="1:21" ht="17.25" thickTop="1" thickBot="1" x14ac:dyDescent="0.25">
      <c r="B6" s="47"/>
      <c r="C6" s="312"/>
      <c r="D6" s="312"/>
      <c r="E6" s="188"/>
      <c r="F6" s="309"/>
      <c r="G6" s="310"/>
      <c r="H6" s="310"/>
      <c r="I6" s="310"/>
      <c r="J6" s="311"/>
      <c r="L6" s="176" t="s">
        <v>1348</v>
      </c>
      <c r="M6" s="182" t="s">
        <v>1392</v>
      </c>
      <c r="N6" s="296" t="s">
        <v>31</v>
      </c>
      <c r="O6" s="297"/>
      <c r="P6" s="297"/>
      <c r="Q6" s="297"/>
      <c r="R6" s="297"/>
      <c r="S6" s="297"/>
      <c r="T6" s="297"/>
      <c r="U6" s="298"/>
    </row>
    <row r="7" spans="1:21" ht="17.25" thickTop="1" thickBot="1" x14ac:dyDescent="0.25">
      <c r="B7" s="47"/>
      <c r="C7" s="7"/>
      <c r="D7" s="7"/>
      <c r="E7" s="48"/>
      <c r="F7" s="179"/>
      <c r="G7" s="293"/>
      <c r="H7" s="293"/>
      <c r="I7" s="293"/>
      <c r="J7" s="47"/>
      <c r="L7" s="176" t="s">
        <v>1349</v>
      </c>
      <c r="M7" s="183" t="s">
        <v>1393</v>
      </c>
      <c r="N7" s="296" t="s">
        <v>32</v>
      </c>
      <c r="O7" s="297"/>
      <c r="P7" s="297"/>
      <c r="Q7" s="297"/>
      <c r="R7" s="297"/>
      <c r="S7" s="297"/>
      <c r="T7" s="297"/>
      <c r="U7" s="298"/>
    </row>
    <row r="8" spans="1:21" ht="17.25" thickTop="1" thickBot="1" x14ac:dyDescent="0.25">
      <c r="B8" s="47"/>
      <c r="C8" s="172" t="s">
        <v>1352</v>
      </c>
      <c r="D8" s="190"/>
      <c r="E8" s="48"/>
      <c r="F8" s="299" t="s">
        <v>1353</v>
      </c>
      <c r="G8" s="300"/>
      <c r="H8" s="313">
        <v>27600000</v>
      </c>
      <c r="I8" s="314"/>
      <c r="J8" s="47"/>
      <c r="L8" s="176" t="s">
        <v>1350</v>
      </c>
      <c r="M8" s="183" t="s">
        <v>1394</v>
      </c>
      <c r="N8" s="296" t="s">
        <v>34</v>
      </c>
      <c r="O8" s="297"/>
      <c r="P8" s="297"/>
      <c r="Q8" s="297"/>
      <c r="R8" s="297"/>
      <c r="S8" s="297"/>
      <c r="T8" s="297"/>
      <c r="U8" s="298"/>
    </row>
    <row r="9" spans="1:21" ht="17.25" thickTop="1" thickBot="1" x14ac:dyDescent="0.25">
      <c r="B9" s="47"/>
      <c r="C9" s="315" t="s">
        <v>682</v>
      </c>
      <c r="D9" s="316"/>
      <c r="E9" s="48"/>
      <c r="F9" s="301" t="s">
        <v>1254</v>
      </c>
      <c r="G9" s="302"/>
      <c r="H9" s="313">
        <v>0</v>
      </c>
      <c r="I9" s="314"/>
      <c r="J9" s="47"/>
      <c r="L9" s="177" t="s">
        <v>1351</v>
      </c>
      <c r="M9" s="183" t="s">
        <v>1</v>
      </c>
      <c r="N9" s="296" t="s">
        <v>1380</v>
      </c>
      <c r="O9" s="297"/>
      <c r="P9" s="297"/>
      <c r="Q9" s="297"/>
      <c r="R9" s="297"/>
      <c r="S9" s="297"/>
      <c r="T9" s="297"/>
      <c r="U9" s="298"/>
    </row>
    <row r="10" spans="1:21" ht="16.5" thickBot="1" x14ac:dyDescent="0.25">
      <c r="B10" s="47"/>
      <c r="C10" s="317"/>
      <c r="D10" s="318"/>
      <c r="E10" s="48"/>
      <c r="F10" s="301" t="s">
        <v>1354</v>
      </c>
      <c r="G10" s="302"/>
      <c r="H10" s="313"/>
      <c r="I10" s="314"/>
      <c r="J10" s="47"/>
      <c r="L10" s="48"/>
      <c r="M10" s="186"/>
      <c r="N10" s="187"/>
      <c r="O10" s="187"/>
      <c r="P10" s="187"/>
      <c r="Q10" s="187"/>
      <c r="R10" s="187"/>
      <c r="S10" s="187"/>
      <c r="T10" s="187"/>
      <c r="U10" s="187"/>
    </row>
    <row r="11" spans="1:21" ht="15.75" x14ac:dyDescent="0.25">
      <c r="B11" s="47"/>
      <c r="C11" s="178"/>
      <c r="D11" s="178"/>
      <c r="E11" s="48"/>
      <c r="F11" s="48"/>
      <c r="G11" s="49"/>
      <c r="H11" s="49"/>
      <c r="I11" s="49"/>
      <c r="J11" s="47"/>
    </row>
    <row r="12" spans="1:21" ht="30.95" customHeight="1" x14ac:dyDescent="0.25">
      <c r="A12" s="7" t="s">
        <v>373</v>
      </c>
      <c r="B12" s="295" t="s">
        <v>373</v>
      </c>
      <c r="C12" s="294" t="s">
        <v>374</v>
      </c>
      <c r="D12" s="292" t="s">
        <v>375</v>
      </c>
      <c r="E12" s="295" t="s">
        <v>376</v>
      </c>
      <c r="F12" s="292" t="s">
        <v>377</v>
      </c>
      <c r="G12" s="292" t="s">
        <v>378</v>
      </c>
      <c r="H12" s="291" t="s">
        <v>1254</v>
      </c>
      <c r="I12" s="291"/>
      <c r="J12" s="292" t="s">
        <v>1256</v>
      </c>
    </row>
    <row r="13" spans="1:21" ht="30.95" customHeight="1" x14ac:dyDescent="0.25">
      <c r="B13" s="295"/>
      <c r="C13" s="294"/>
      <c r="D13" s="292"/>
      <c r="E13" s="295"/>
      <c r="F13" s="292"/>
      <c r="G13" s="292"/>
      <c r="H13" s="46" t="s">
        <v>1253</v>
      </c>
      <c r="I13" s="46" t="s">
        <v>1255</v>
      </c>
      <c r="J13" s="292"/>
    </row>
    <row r="14" spans="1:21" ht="30.95" customHeight="1" x14ac:dyDescent="0.25">
      <c r="A14" s="7">
        <v>0.1</v>
      </c>
      <c r="B14" s="5">
        <v>1</v>
      </c>
      <c r="C14" s="6">
        <v>2</v>
      </c>
      <c r="D14" s="5">
        <v>3</v>
      </c>
      <c r="E14" s="6">
        <v>4</v>
      </c>
      <c r="F14" s="5">
        <v>5</v>
      </c>
      <c r="G14" s="6">
        <v>6</v>
      </c>
      <c r="H14" s="45">
        <v>7</v>
      </c>
      <c r="I14" s="45">
        <v>8</v>
      </c>
      <c r="J14" s="45">
        <v>9</v>
      </c>
    </row>
    <row r="15" spans="1:21" ht="30.95" customHeight="1" x14ac:dyDescent="0.25">
      <c r="A15" s="40"/>
      <c r="B15" s="215" t="s">
        <v>1391</v>
      </c>
      <c r="C15" s="10" t="s">
        <v>0</v>
      </c>
      <c r="D15" s="11">
        <v>0</v>
      </c>
      <c r="E15" s="12" t="s">
        <v>1</v>
      </c>
      <c r="F15" s="11">
        <v>0</v>
      </c>
      <c r="G15" s="11">
        <f>G16</f>
        <v>38199906000</v>
      </c>
      <c r="H15" s="11">
        <f>H16</f>
        <v>1350000</v>
      </c>
      <c r="I15" s="11">
        <f>I16</f>
        <v>12949000</v>
      </c>
      <c r="J15" s="11">
        <f>J16</f>
        <v>38185607000</v>
      </c>
    </row>
    <row r="16" spans="1:21" x14ac:dyDescent="0.25">
      <c r="A16" s="40" t="s">
        <v>2</v>
      </c>
      <c r="B16" s="13" t="s">
        <v>2</v>
      </c>
      <c r="C16" s="14" t="s">
        <v>3</v>
      </c>
      <c r="D16" s="15">
        <v>0</v>
      </c>
      <c r="E16" s="16" t="s">
        <v>1</v>
      </c>
      <c r="F16" s="15">
        <v>0</v>
      </c>
      <c r="G16" s="15">
        <f>SUM(G17,G29,G95,G378,G782)</f>
        <v>38199906000</v>
      </c>
      <c r="H16" s="15">
        <f>SUM(H17,H29,H95,H378,H782)</f>
        <v>1350000</v>
      </c>
      <c r="I16" s="15">
        <f>SUM(I17,I29,I95,I378,I782)</f>
        <v>12949000</v>
      </c>
      <c r="J16" s="15">
        <f>SUM(J17,J29,J95,J378,J782)</f>
        <v>38185607000</v>
      </c>
    </row>
    <row r="17" spans="1:13" x14ac:dyDescent="0.25">
      <c r="A17" s="40" t="s">
        <v>4</v>
      </c>
      <c r="B17" s="13" t="s">
        <v>4</v>
      </c>
      <c r="C17" s="14" t="s">
        <v>5</v>
      </c>
      <c r="D17" s="15">
        <v>1</v>
      </c>
      <c r="E17" s="16" t="s">
        <v>6</v>
      </c>
      <c r="F17" s="15">
        <v>0</v>
      </c>
      <c r="G17" s="15">
        <f t="shared" ref="G17:J18" si="0">G18</f>
        <v>3653313000</v>
      </c>
      <c r="H17" s="15">
        <f t="shared" si="0"/>
        <v>0</v>
      </c>
      <c r="I17" s="15">
        <f t="shared" si="0"/>
        <v>0</v>
      </c>
      <c r="J17" s="15">
        <f t="shared" si="0"/>
        <v>3653313000</v>
      </c>
    </row>
    <row r="18" spans="1:13" x14ac:dyDescent="0.25">
      <c r="A18" s="40" t="s">
        <v>7</v>
      </c>
      <c r="B18" s="17" t="s">
        <v>7</v>
      </c>
      <c r="C18" s="18" t="s">
        <v>8</v>
      </c>
      <c r="D18" s="19">
        <v>0</v>
      </c>
      <c r="E18" s="20" t="s">
        <v>1</v>
      </c>
      <c r="F18" s="19">
        <v>0</v>
      </c>
      <c r="G18" s="19">
        <f t="shared" si="0"/>
        <v>3653313000</v>
      </c>
      <c r="H18" s="19">
        <f t="shared" si="0"/>
        <v>0</v>
      </c>
      <c r="I18" s="19">
        <f t="shared" si="0"/>
        <v>0</v>
      </c>
      <c r="J18" s="19">
        <f t="shared" si="0"/>
        <v>3653313000</v>
      </c>
    </row>
    <row r="19" spans="1:13" x14ac:dyDescent="0.25">
      <c r="A19" s="40" t="s">
        <v>379</v>
      </c>
      <c r="B19" s="21" t="s">
        <v>9</v>
      </c>
      <c r="C19" s="22" t="s">
        <v>10</v>
      </c>
      <c r="D19" s="23">
        <v>0</v>
      </c>
      <c r="E19" s="24" t="s">
        <v>1</v>
      </c>
      <c r="F19" s="23">
        <v>0</v>
      </c>
      <c r="G19" s="23">
        <f>SUM(G20,G23)</f>
        <v>3653313000</v>
      </c>
      <c r="H19" s="23">
        <f>SUM(H20,H23)</f>
        <v>0</v>
      </c>
      <c r="I19" s="23">
        <f>SUM(I20,I23)</f>
        <v>0</v>
      </c>
      <c r="J19" s="23">
        <f>SUM(J20,J23)</f>
        <v>3653313000</v>
      </c>
    </row>
    <row r="20" spans="1:13" s="8" customFormat="1" x14ac:dyDescent="0.25">
      <c r="A20" s="180" t="s">
        <v>390</v>
      </c>
      <c r="B20" s="25" t="s">
        <v>11</v>
      </c>
      <c r="C20" s="26" t="s">
        <v>12</v>
      </c>
      <c r="D20" s="27">
        <v>0</v>
      </c>
      <c r="E20" s="28" t="s">
        <v>1</v>
      </c>
      <c r="F20" s="27">
        <v>0</v>
      </c>
      <c r="G20" s="27">
        <f t="shared" ref="G20:J21" si="1">G21</f>
        <v>703502000</v>
      </c>
      <c r="H20" s="27">
        <f t="shared" si="1"/>
        <v>0</v>
      </c>
      <c r="I20" s="27">
        <f t="shared" si="1"/>
        <v>0</v>
      </c>
      <c r="J20" s="27">
        <f t="shared" si="1"/>
        <v>703502000</v>
      </c>
      <c r="L20" s="7"/>
      <c r="M20" s="181"/>
    </row>
    <row r="21" spans="1:13" s="9" customFormat="1" x14ac:dyDescent="0.25">
      <c r="A21" s="39" t="s">
        <v>441</v>
      </c>
      <c r="B21" s="17" t="s">
        <v>13</v>
      </c>
      <c r="C21" s="18" t="s">
        <v>14</v>
      </c>
      <c r="D21" s="19">
        <v>0</v>
      </c>
      <c r="E21" s="20" t="s">
        <v>1</v>
      </c>
      <c r="F21" s="19">
        <v>0</v>
      </c>
      <c r="G21" s="19">
        <f t="shared" si="1"/>
        <v>703502000</v>
      </c>
      <c r="H21" s="19">
        <f t="shared" si="1"/>
        <v>0</v>
      </c>
      <c r="I21" s="19">
        <f t="shared" si="1"/>
        <v>0</v>
      </c>
      <c r="J21" s="19">
        <f t="shared" si="1"/>
        <v>703502000</v>
      </c>
      <c r="L21" s="7"/>
      <c r="M21" s="184"/>
    </row>
    <row r="22" spans="1:13" s="9" customFormat="1" x14ac:dyDescent="0.25">
      <c r="A22" s="39" t="s">
        <v>678</v>
      </c>
      <c r="B22" s="29" t="s">
        <v>1</v>
      </c>
      <c r="C22" s="30" t="s">
        <v>15</v>
      </c>
      <c r="D22" s="31">
        <v>1</v>
      </c>
      <c r="E22" s="32" t="s">
        <v>16</v>
      </c>
      <c r="F22" s="31">
        <v>703502000</v>
      </c>
      <c r="G22" s="31">
        <f>ROUNDDOWN($D22*$F22,-3)</f>
        <v>703502000</v>
      </c>
      <c r="H22" s="31">
        <v>0</v>
      </c>
      <c r="I22" s="31">
        <f>SUMIF(dd_kuitansi[MAK],$A22,dd_kuitansi[Jumlah])</f>
        <v>0</v>
      </c>
      <c r="J22" s="31">
        <f>$G22-SUM($H22:$I22)</f>
        <v>703502000</v>
      </c>
      <c r="L22" s="7"/>
      <c r="M22" s="184"/>
    </row>
    <row r="23" spans="1:13" s="9" customFormat="1" x14ac:dyDescent="0.25">
      <c r="A23" s="39" t="s">
        <v>391</v>
      </c>
      <c r="B23" s="25" t="s">
        <v>17</v>
      </c>
      <c r="C23" s="26" t="s">
        <v>18</v>
      </c>
      <c r="D23" s="27">
        <v>0</v>
      </c>
      <c r="E23" s="28" t="s">
        <v>1</v>
      </c>
      <c r="F23" s="27">
        <v>0</v>
      </c>
      <c r="G23" s="27">
        <f t="shared" ref="G23:J24" si="2">G24</f>
        <v>2949811000</v>
      </c>
      <c r="H23" s="27">
        <f t="shared" si="2"/>
        <v>0</v>
      </c>
      <c r="I23" s="27">
        <f t="shared" si="2"/>
        <v>0</v>
      </c>
      <c r="J23" s="27">
        <f t="shared" si="2"/>
        <v>2949811000</v>
      </c>
      <c r="M23" s="184"/>
    </row>
    <row r="24" spans="1:13" s="9" customFormat="1" x14ac:dyDescent="0.25">
      <c r="A24" s="39" t="s">
        <v>442</v>
      </c>
      <c r="B24" s="17" t="s">
        <v>19</v>
      </c>
      <c r="C24" s="18" t="s">
        <v>20</v>
      </c>
      <c r="D24" s="19">
        <v>0</v>
      </c>
      <c r="E24" s="20" t="s">
        <v>1</v>
      </c>
      <c r="F24" s="19">
        <v>0</v>
      </c>
      <c r="G24" s="19">
        <f t="shared" si="2"/>
        <v>2949811000</v>
      </c>
      <c r="H24" s="19">
        <f t="shared" si="2"/>
        <v>0</v>
      </c>
      <c r="I24" s="19">
        <f t="shared" si="2"/>
        <v>0</v>
      </c>
      <c r="J24" s="19">
        <f t="shared" si="2"/>
        <v>2949811000</v>
      </c>
      <c r="M24" s="184"/>
    </row>
    <row r="25" spans="1:13" s="9" customFormat="1" x14ac:dyDescent="0.25">
      <c r="A25" s="39"/>
      <c r="B25" s="29" t="s">
        <v>1</v>
      </c>
      <c r="C25" s="33" t="s">
        <v>21</v>
      </c>
      <c r="D25" s="31">
        <v>0</v>
      </c>
      <c r="E25" s="32" t="s">
        <v>1</v>
      </c>
      <c r="F25" s="31">
        <v>0</v>
      </c>
      <c r="G25" s="31">
        <f>SUM(G26:G28)</f>
        <v>2949811000</v>
      </c>
      <c r="H25" s="31">
        <f>SUM(H26:H28)</f>
        <v>0</v>
      </c>
      <c r="I25" s="31">
        <f>SUM(I26:I28)</f>
        <v>0</v>
      </c>
      <c r="J25" s="31">
        <f>SUM(J26:J28)</f>
        <v>2949811000</v>
      </c>
      <c r="M25" s="184"/>
    </row>
    <row r="26" spans="1:13" s="9" customFormat="1" x14ac:dyDescent="0.25">
      <c r="A26" s="39" t="s">
        <v>679</v>
      </c>
      <c r="B26" s="29" t="s">
        <v>1</v>
      </c>
      <c r="C26" s="30" t="s">
        <v>22</v>
      </c>
      <c r="D26" s="31">
        <v>792</v>
      </c>
      <c r="E26" s="32" t="s">
        <v>23</v>
      </c>
      <c r="F26" s="31">
        <v>3500834</v>
      </c>
      <c r="G26" s="31">
        <f>ROUNDDOWN($D26*$F26,-3)</f>
        <v>2772660000</v>
      </c>
      <c r="H26" s="31">
        <v>0</v>
      </c>
      <c r="I26" s="31">
        <f>SUMIF(dd_kuitansi[MAK],$A26,dd_kuitansi[Jumlah])</f>
        <v>0</v>
      </c>
      <c r="J26" s="31">
        <f>$G26-SUM($H26:$I26)</f>
        <v>2772660000</v>
      </c>
      <c r="M26" s="184"/>
    </row>
    <row r="27" spans="1:13" s="9" customFormat="1" x14ac:dyDescent="0.25">
      <c r="A27" s="39" t="s">
        <v>680</v>
      </c>
      <c r="B27" s="29" t="s">
        <v>1</v>
      </c>
      <c r="C27" s="30" t="s">
        <v>24</v>
      </c>
      <c r="D27" s="31">
        <v>1</v>
      </c>
      <c r="E27" s="32" t="s">
        <v>16</v>
      </c>
      <c r="F27" s="31">
        <v>86994000</v>
      </c>
      <c r="G27" s="31">
        <f>ROUNDDOWN($D27*$F27,-3)</f>
        <v>86994000</v>
      </c>
      <c r="H27" s="31">
        <v>0</v>
      </c>
      <c r="I27" s="31">
        <f>SUMIF(dd_kuitansi[MAK],$A27,dd_kuitansi[Jumlah])</f>
        <v>0</v>
      </c>
      <c r="J27" s="31">
        <f>$G27-SUM($H27:$I27)</f>
        <v>86994000</v>
      </c>
      <c r="M27" s="184"/>
    </row>
    <row r="28" spans="1:13" x14ac:dyDescent="0.25">
      <c r="A28" s="40" t="s">
        <v>681</v>
      </c>
      <c r="B28" s="29" t="s">
        <v>1</v>
      </c>
      <c r="C28" s="30" t="s">
        <v>25</v>
      </c>
      <c r="D28" s="31">
        <v>1</v>
      </c>
      <c r="E28" s="32" t="s">
        <v>16</v>
      </c>
      <c r="F28" s="31">
        <v>90157000</v>
      </c>
      <c r="G28" s="31">
        <f>ROUNDDOWN($D28*$F28,-3)</f>
        <v>90157000</v>
      </c>
      <c r="H28" s="31">
        <v>0</v>
      </c>
      <c r="I28" s="31">
        <f>SUMIF(dd_kuitansi[MAK],$A28,dd_kuitansi[Jumlah])</f>
        <v>0</v>
      </c>
      <c r="J28" s="31">
        <f>$G28-SUM($H28:$I28)</f>
        <v>90157000</v>
      </c>
    </row>
    <row r="29" spans="1:13" s="9" customFormat="1" x14ac:dyDescent="0.25">
      <c r="A29" s="39" t="s">
        <v>26</v>
      </c>
      <c r="B29" s="13" t="s">
        <v>26</v>
      </c>
      <c r="C29" s="14" t="s">
        <v>27</v>
      </c>
      <c r="D29" s="15">
        <v>195</v>
      </c>
      <c r="E29" s="16" t="s">
        <v>28</v>
      </c>
      <c r="F29" s="15">
        <v>0</v>
      </c>
      <c r="G29" s="15">
        <f t="shared" ref="G29:J30" si="3">G30</f>
        <v>12717391000</v>
      </c>
      <c r="H29" s="15">
        <f t="shared" si="3"/>
        <v>1350000</v>
      </c>
      <c r="I29" s="15">
        <f t="shared" si="3"/>
        <v>12949000</v>
      </c>
      <c r="J29" s="15">
        <f t="shared" si="3"/>
        <v>12703092000</v>
      </c>
      <c r="M29" s="184"/>
    </row>
    <row r="30" spans="1:13" s="9" customFormat="1" x14ac:dyDescent="0.25">
      <c r="A30" s="39" t="s">
        <v>29</v>
      </c>
      <c r="B30" s="17" t="s">
        <v>29</v>
      </c>
      <c r="C30" s="18" t="s">
        <v>30</v>
      </c>
      <c r="D30" s="19">
        <v>0</v>
      </c>
      <c r="E30" s="20" t="s">
        <v>1</v>
      </c>
      <c r="F30" s="19">
        <v>0</v>
      </c>
      <c r="G30" s="19">
        <f t="shared" si="3"/>
        <v>12717391000</v>
      </c>
      <c r="H30" s="19">
        <f t="shared" si="3"/>
        <v>1350000</v>
      </c>
      <c r="I30" s="19">
        <f t="shared" si="3"/>
        <v>12949000</v>
      </c>
      <c r="J30" s="19">
        <f t="shared" si="3"/>
        <v>12703092000</v>
      </c>
      <c r="M30" s="184"/>
    </row>
    <row r="31" spans="1:13" x14ac:dyDescent="0.25">
      <c r="A31" s="40" t="s">
        <v>380</v>
      </c>
      <c r="B31" s="21" t="s">
        <v>9</v>
      </c>
      <c r="C31" s="22" t="s">
        <v>31</v>
      </c>
      <c r="D31" s="23">
        <v>0</v>
      </c>
      <c r="E31" s="24" t="s">
        <v>1</v>
      </c>
      <c r="F31" s="23">
        <v>0</v>
      </c>
      <c r="G31" s="23">
        <f>SUM(G32,G50,G63,G80)</f>
        <v>12717391000</v>
      </c>
      <c r="H31" s="23">
        <f>SUM(H32,H50,H63,H80)</f>
        <v>1350000</v>
      </c>
      <c r="I31" s="23">
        <f>SUM(I32,I50,I63,I80)</f>
        <v>12949000</v>
      </c>
      <c r="J31" s="23">
        <f>SUM(J32,J50,J63,J80)</f>
        <v>12703092000</v>
      </c>
    </row>
    <row r="32" spans="1:13" x14ac:dyDescent="0.25">
      <c r="A32" s="40" t="s">
        <v>392</v>
      </c>
      <c r="B32" s="25" t="s">
        <v>11</v>
      </c>
      <c r="C32" s="26" t="s">
        <v>32</v>
      </c>
      <c r="D32" s="27">
        <v>0</v>
      </c>
      <c r="E32" s="28" t="s">
        <v>1</v>
      </c>
      <c r="F32" s="27">
        <v>0</v>
      </c>
      <c r="G32" s="27">
        <f>SUM(G33,G36,G38,G41,G43,G46)</f>
        <v>4890316000</v>
      </c>
      <c r="H32" s="27">
        <f>SUM(H33,H36,H38,H41,H43,H46)</f>
        <v>600000</v>
      </c>
      <c r="I32" s="27">
        <f>SUM(I33,I36,I38,I41,I43,I46)</f>
        <v>780000</v>
      </c>
      <c r="J32" s="27">
        <f>SUM(J33,J36,J38,J41,J43,J46)</f>
        <v>4888936000</v>
      </c>
    </row>
    <row r="33" spans="1:13" x14ac:dyDescent="0.25">
      <c r="A33" s="40" t="s">
        <v>443</v>
      </c>
      <c r="B33" s="17" t="s">
        <v>33</v>
      </c>
      <c r="C33" s="18" t="s">
        <v>34</v>
      </c>
      <c r="D33" s="19">
        <v>0</v>
      </c>
      <c r="E33" s="20" t="s">
        <v>1</v>
      </c>
      <c r="F33" s="19">
        <v>0</v>
      </c>
      <c r="G33" s="19">
        <f>SUM(G34:G35)</f>
        <v>45600000</v>
      </c>
      <c r="H33" s="19">
        <f>SUM(H34:H35)</f>
        <v>0</v>
      </c>
      <c r="I33" s="19">
        <f>SUM(I34:I35)</f>
        <v>0</v>
      </c>
      <c r="J33" s="19">
        <f>SUM(J34:J35)</f>
        <v>45600000</v>
      </c>
    </row>
    <row r="34" spans="1:13" x14ac:dyDescent="0.25">
      <c r="A34" s="40" t="s">
        <v>682</v>
      </c>
      <c r="B34" s="29" t="s">
        <v>1</v>
      </c>
      <c r="C34" s="30" t="s">
        <v>35</v>
      </c>
      <c r="D34" s="31">
        <v>400</v>
      </c>
      <c r="E34" s="32" t="s">
        <v>36</v>
      </c>
      <c r="F34" s="31">
        <v>69000</v>
      </c>
      <c r="G34" s="31">
        <f>ROUNDDOWN($D34*$F34,-3)</f>
        <v>27600000</v>
      </c>
      <c r="H34" s="31">
        <v>0</v>
      </c>
      <c r="I34" s="31">
        <f>SUMIF(dd_kuitansi[MAK],$A34,dd_kuitansi[Jumlah])</f>
        <v>0</v>
      </c>
      <c r="J34" s="31">
        <f>$G34-SUM($H34:$I34)</f>
        <v>27600000</v>
      </c>
    </row>
    <row r="35" spans="1:13" s="9" customFormat="1" x14ac:dyDescent="0.25">
      <c r="A35" s="39" t="s">
        <v>683</v>
      </c>
      <c r="B35" s="29" t="s">
        <v>1</v>
      </c>
      <c r="C35" s="30" t="s">
        <v>37</v>
      </c>
      <c r="D35" s="31">
        <v>12</v>
      </c>
      <c r="E35" s="32" t="s">
        <v>16</v>
      </c>
      <c r="F35" s="31">
        <v>1500000</v>
      </c>
      <c r="G35" s="31">
        <f>ROUNDDOWN($D35*$F35,-3)</f>
        <v>18000000</v>
      </c>
      <c r="H35" s="31">
        <v>0</v>
      </c>
      <c r="I35" s="31">
        <f>SUMIF(dd_kuitansi[MAK],$A35,dd_kuitansi[Jumlah])</f>
        <v>0</v>
      </c>
      <c r="J35" s="31">
        <f>$G35-SUM($H35:$I35)</f>
        <v>18000000</v>
      </c>
      <c r="M35" s="184"/>
    </row>
    <row r="36" spans="1:13" s="9" customFormat="1" x14ac:dyDescent="0.25">
      <c r="A36" s="39" t="s">
        <v>444</v>
      </c>
      <c r="B36" s="17" t="s">
        <v>38</v>
      </c>
      <c r="C36" s="18" t="s">
        <v>39</v>
      </c>
      <c r="D36" s="19">
        <v>0</v>
      </c>
      <c r="E36" s="20" t="s">
        <v>1</v>
      </c>
      <c r="F36" s="19">
        <v>0</v>
      </c>
      <c r="G36" s="19">
        <f>G37</f>
        <v>4399600000</v>
      </c>
      <c r="H36" s="19">
        <f>H37</f>
        <v>0</v>
      </c>
      <c r="I36" s="19">
        <f>I37</f>
        <v>0</v>
      </c>
      <c r="J36" s="19">
        <f>J37</f>
        <v>4399600000</v>
      </c>
      <c r="M36" s="184"/>
    </row>
    <row r="37" spans="1:13" s="9" customFormat="1" x14ac:dyDescent="0.25">
      <c r="A37" s="39" t="s">
        <v>684</v>
      </c>
      <c r="B37" s="29" t="s">
        <v>1</v>
      </c>
      <c r="C37" s="30" t="s">
        <v>40</v>
      </c>
      <c r="D37" s="31">
        <v>75</v>
      </c>
      <c r="E37" s="32" t="s">
        <v>36</v>
      </c>
      <c r="F37" s="31">
        <v>58661340</v>
      </c>
      <c r="G37" s="31">
        <f>ROUNDDOWN($D37*$F37,-3)</f>
        <v>4399600000</v>
      </c>
      <c r="H37" s="31">
        <v>0</v>
      </c>
      <c r="I37" s="31">
        <f>SUMIF(dd_kuitansi[MAK],$A37,dd_kuitansi[Jumlah])</f>
        <v>0</v>
      </c>
      <c r="J37" s="31">
        <f>$G37-SUM($H37:$I37)</f>
        <v>4399600000</v>
      </c>
      <c r="M37" s="184"/>
    </row>
    <row r="38" spans="1:13" s="9" customFormat="1" x14ac:dyDescent="0.25">
      <c r="A38" s="39" t="s">
        <v>445</v>
      </c>
      <c r="B38" s="17" t="s">
        <v>41</v>
      </c>
      <c r="C38" s="18" t="s">
        <v>42</v>
      </c>
      <c r="D38" s="19">
        <v>0</v>
      </c>
      <c r="E38" s="20" t="s">
        <v>1</v>
      </c>
      <c r="F38" s="19">
        <v>0</v>
      </c>
      <c r="G38" s="19">
        <f>SUM(G39:G40)</f>
        <v>30000000</v>
      </c>
      <c r="H38" s="19">
        <f>SUM(H39:H40)</f>
        <v>600000</v>
      </c>
      <c r="I38" s="19">
        <f>SUM(I39:I40)</f>
        <v>780000</v>
      </c>
      <c r="J38" s="19">
        <f>SUM(J39:J40)</f>
        <v>28620000</v>
      </c>
      <c r="M38" s="184"/>
    </row>
    <row r="39" spans="1:13" s="9" customFormat="1" x14ac:dyDescent="0.25">
      <c r="A39" s="39" t="s">
        <v>685</v>
      </c>
      <c r="B39" s="29" t="s">
        <v>1</v>
      </c>
      <c r="C39" s="30" t="s">
        <v>43</v>
      </c>
      <c r="D39" s="31">
        <v>12</v>
      </c>
      <c r="E39" s="32" t="s">
        <v>44</v>
      </c>
      <c r="F39" s="31">
        <v>1500000</v>
      </c>
      <c r="G39" s="31">
        <f>ROUNDDOWN($D39*$F39,-3)</f>
        <v>18000000</v>
      </c>
      <c r="H39" s="31">
        <v>0</v>
      </c>
      <c r="I39" s="31">
        <f>SUMIF(dd_kuitansi[MAK],$A39,dd_kuitansi[Jumlah])</f>
        <v>0</v>
      </c>
      <c r="J39" s="31">
        <f>$G39-SUM($H39:$I39)</f>
        <v>18000000</v>
      </c>
      <c r="M39" s="184"/>
    </row>
    <row r="40" spans="1:13" x14ac:dyDescent="0.25">
      <c r="A40" s="40" t="s">
        <v>686</v>
      </c>
      <c r="B40" s="29" t="s">
        <v>1</v>
      </c>
      <c r="C40" s="30" t="s">
        <v>45</v>
      </c>
      <c r="D40" s="31">
        <v>12</v>
      </c>
      <c r="E40" s="32" t="s">
        <v>44</v>
      </c>
      <c r="F40" s="31">
        <v>1000000</v>
      </c>
      <c r="G40" s="31">
        <f>ROUNDDOWN($D40*$F40,-3)</f>
        <v>12000000</v>
      </c>
      <c r="H40" s="31">
        <v>600000</v>
      </c>
      <c r="I40" s="31">
        <f>SUMIF(dd_kuitansi[MAK],$A40,dd_kuitansi[Jumlah])</f>
        <v>780000</v>
      </c>
      <c r="J40" s="31">
        <f>$G40-SUM($H40:$I40)</f>
        <v>10620000</v>
      </c>
    </row>
    <row r="41" spans="1:13" x14ac:dyDescent="0.25">
      <c r="A41" s="40" t="s">
        <v>446</v>
      </c>
      <c r="B41" s="17" t="s">
        <v>46</v>
      </c>
      <c r="C41" s="18" t="s">
        <v>47</v>
      </c>
      <c r="D41" s="19">
        <v>0</v>
      </c>
      <c r="E41" s="20" t="s">
        <v>1</v>
      </c>
      <c r="F41" s="19">
        <v>0</v>
      </c>
      <c r="G41" s="19">
        <f>G42</f>
        <v>25000000</v>
      </c>
      <c r="H41" s="19">
        <f>H42</f>
        <v>0</v>
      </c>
      <c r="I41" s="19">
        <f>I42</f>
        <v>0</v>
      </c>
      <c r="J41" s="19">
        <f>J42</f>
        <v>25000000</v>
      </c>
    </row>
    <row r="42" spans="1:13" s="9" customFormat="1" x14ac:dyDescent="0.25">
      <c r="A42" s="39" t="s">
        <v>687</v>
      </c>
      <c r="B42" s="29" t="s">
        <v>1</v>
      </c>
      <c r="C42" s="30" t="s">
        <v>48</v>
      </c>
      <c r="D42" s="31">
        <v>25</v>
      </c>
      <c r="E42" s="32" t="s">
        <v>49</v>
      </c>
      <c r="F42" s="31">
        <v>1000000</v>
      </c>
      <c r="G42" s="31">
        <f>ROUNDDOWN($D42*$F42,-3)</f>
        <v>25000000</v>
      </c>
      <c r="H42" s="31">
        <v>0</v>
      </c>
      <c r="I42" s="31">
        <f>SUMIF(dd_kuitansi[MAK],$A42,dd_kuitansi[Jumlah])</f>
        <v>0</v>
      </c>
      <c r="J42" s="31">
        <f>$G42-SUM($H42:$I42)</f>
        <v>25000000</v>
      </c>
      <c r="M42" s="184"/>
    </row>
    <row r="43" spans="1:13" x14ac:dyDescent="0.25">
      <c r="A43" s="40" t="s">
        <v>447</v>
      </c>
      <c r="B43" s="17" t="s">
        <v>50</v>
      </c>
      <c r="C43" s="18" t="s">
        <v>51</v>
      </c>
      <c r="D43" s="19">
        <v>0</v>
      </c>
      <c r="E43" s="20" t="s">
        <v>1</v>
      </c>
      <c r="F43" s="19">
        <v>0</v>
      </c>
      <c r="G43" s="19">
        <f>SUM(G44:G45)</f>
        <v>290116000</v>
      </c>
      <c r="H43" s="19">
        <f>SUM(H44:H45)</f>
        <v>0</v>
      </c>
      <c r="I43" s="19">
        <f>SUM(I44:I45)</f>
        <v>0</v>
      </c>
      <c r="J43" s="19">
        <f>SUM(J44:J45)</f>
        <v>290116000</v>
      </c>
    </row>
    <row r="44" spans="1:13" s="9" customFormat="1" x14ac:dyDescent="0.25">
      <c r="A44" s="39" t="s">
        <v>688</v>
      </c>
      <c r="B44" s="29" t="s">
        <v>1</v>
      </c>
      <c r="C44" s="30" t="s">
        <v>52</v>
      </c>
      <c r="D44" s="31">
        <v>75</v>
      </c>
      <c r="E44" s="32" t="s">
        <v>36</v>
      </c>
      <c r="F44" s="31">
        <v>2268215</v>
      </c>
      <c r="G44" s="31">
        <f>ROUNDDOWN($D44*$F44,-3)</f>
        <v>170116000</v>
      </c>
      <c r="H44" s="31">
        <v>0</v>
      </c>
      <c r="I44" s="31">
        <f>SUMIF(dd_kuitansi[MAK],$A44,dd_kuitansi[Jumlah])</f>
        <v>0</v>
      </c>
      <c r="J44" s="31">
        <f>$G44-SUM($H44:$I44)</f>
        <v>170116000</v>
      </c>
      <c r="M44" s="184"/>
    </row>
    <row r="45" spans="1:13" ht="25.5" x14ac:dyDescent="0.25">
      <c r="A45" s="40" t="s">
        <v>689</v>
      </c>
      <c r="B45" s="29" t="s">
        <v>1</v>
      </c>
      <c r="C45" s="30" t="s">
        <v>53</v>
      </c>
      <c r="D45" s="31">
        <v>24</v>
      </c>
      <c r="E45" s="32" t="s">
        <v>36</v>
      </c>
      <c r="F45" s="31">
        <v>5000000</v>
      </c>
      <c r="G45" s="31">
        <f>ROUNDDOWN($D45*$F45,-3)</f>
        <v>120000000</v>
      </c>
      <c r="H45" s="31">
        <v>0</v>
      </c>
      <c r="I45" s="31">
        <f>SUMIF(dd_kuitansi[MAK],$A45,dd_kuitansi[Jumlah])</f>
        <v>0</v>
      </c>
      <c r="J45" s="31">
        <f>$G45-SUM($H45:$I45)</f>
        <v>120000000</v>
      </c>
    </row>
    <row r="46" spans="1:13" x14ac:dyDescent="0.25">
      <c r="A46" s="40" t="s">
        <v>448</v>
      </c>
      <c r="B46" s="17" t="s">
        <v>54</v>
      </c>
      <c r="C46" s="18" t="s">
        <v>55</v>
      </c>
      <c r="D46" s="19">
        <v>0</v>
      </c>
      <c r="E46" s="20" t="s">
        <v>1</v>
      </c>
      <c r="F46" s="19">
        <v>0</v>
      </c>
      <c r="G46" s="31">
        <f>SUM(G47:G49)</f>
        <v>100000000</v>
      </c>
      <c r="H46" s="31">
        <f>SUM(H47:H49)</f>
        <v>0</v>
      </c>
      <c r="I46" s="31">
        <f>SUM(I47:I49)</f>
        <v>0</v>
      </c>
      <c r="J46" s="31">
        <f>SUM(J47:J49)</f>
        <v>100000000</v>
      </c>
    </row>
    <row r="47" spans="1:13" s="9" customFormat="1" x14ac:dyDescent="0.25">
      <c r="A47" s="39" t="s">
        <v>690</v>
      </c>
      <c r="B47" s="29" t="s">
        <v>1</v>
      </c>
      <c r="C47" s="30" t="s">
        <v>56</v>
      </c>
      <c r="D47" s="31">
        <v>100</v>
      </c>
      <c r="E47" s="32" t="s">
        <v>36</v>
      </c>
      <c r="F47" s="31">
        <v>300000</v>
      </c>
      <c r="G47" s="31">
        <f>ROUNDDOWN($D47*$F47,-3)</f>
        <v>30000000</v>
      </c>
      <c r="H47" s="31">
        <v>0</v>
      </c>
      <c r="I47" s="31">
        <f>SUMIF(dd_kuitansi[MAK],$A47,dd_kuitansi[Jumlah])</f>
        <v>0</v>
      </c>
      <c r="J47" s="31">
        <f>$G47-SUM($H47:$I47)</f>
        <v>30000000</v>
      </c>
      <c r="M47" s="184"/>
    </row>
    <row r="48" spans="1:13" x14ac:dyDescent="0.25">
      <c r="A48" s="40" t="s">
        <v>691</v>
      </c>
      <c r="B48" s="29" t="s">
        <v>1</v>
      </c>
      <c r="C48" s="30" t="s">
        <v>57</v>
      </c>
      <c r="D48" s="31">
        <v>200</v>
      </c>
      <c r="E48" s="32" t="s">
        <v>36</v>
      </c>
      <c r="F48" s="31">
        <v>250000</v>
      </c>
      <c r="G48" s="31">
        <f>ROUNDDOWN($D48*$F48,-3)</f>
        <v>50000000</v>
      </c>
      <c r="H48" s="31">
        <v>0</v>
      </c>
      <c r="I48" s="31">
        <f>SUMIF(dd_kuitansi[MAK],$A48,dd_kuitansi[Jumlah])</f>
        <v>0</v>
      </c>
      <c r="J48" s="31">
        <f>$G48-SUM($H48:$I48)</f>
        <v>50000000</v>
      </c>
    </row>
    <row r="49" spans="1:13" s="9" customFormat="1" x14ac:dyDescent="0.25">
      <c r="A49" s="39" t="s">
        <v>692</v>
      </c>
      <c r="B49" s="29" t="s">
        <v>1</v>
      </c>
      <c r="C49" s="30" t="s">
        <v>58</v>
      </c>
      <c r="D49" s="31">
        <v>100</v>
      </c>
      <c r="E49" s="32" t="s">
        <v>36</v>
      </c>
      <c r="F49" s="31">
        <v>200000</v>
      </c>
      <c r="G49" s="31">
        <f>ROUNDDOWN($D49*$F49,-3)</f>
        <v>20000000</v>
      </c>
      <c r="H49" s="31">
        <v>0</v>
      </c>
      <c r="I49" s="31">
        <f>SUMIF(dd_kuitansi[MAK],$A49,dd_kuitansi[Jumlah])</f>
        <v>0</v>
      </c>
      <c r="J49" s="31">
        <f>$G49-SUM($H49:$I49)</f>
        <v>20000000</v>
      </c>
      <c r="M49" s="184"/>
    </row>
    <row r="50" spans="1:13" x14ac:dyDescent="0.25">
      <c r="A50" s="40" t="s">
        <v>393</v>
      </c>
      <c r="B50" s="25" t="s">
        <v>17</v>
      </c>
      <c r="C50" s="26" t="s">
        <v>59</v>
      </c>
      <c r="D50" s="27">
        <v>0</v>
      </c>
      <c r="E50" s="28" t="s">
        <v>1</v>
      </c>
      <c r="F50" s="27">
        <v>0</v>
      </c>
      <c r="G50" s="27">
        <f>SUM(G51,G54,G56,G59,G61)</f>
        <v>487788000</v>
      </c>
      <c r="H50" s="27">
        <f>SUM(H51,H54,H56,H59,H61)</f>
        <v>750000</v>
      </c>
      <c r="I50" s="27">
        <f>SUM(I51,I54,I56,I59,I61)</f>
        <v>12169000</v>
      </c>
      <c r="J50" s="27">
        <f>SUM(J51,J54,J56,J59,J61)</f>
        <v>474869000</v>
      </c>
    </row>
    <row r="51" spans="1:13" x14ac:dyDescent="0.25">
      <c r="A51" s="40" t="s">
        <v>449</v>
      </c>
      <c r="B51" s="17" t="s">
        <v>33</v>
      </c>
      <c r="C51" s="18" t="s">
        <v>34</v>
      </c>
      <c r="D51" s="19">
        <v>0</v>
      </c>
      <c r="E51" s="20" t="s">
        <v>1</v>
      </c>
      <c r="F51" s="19">
        <v>0</v>
      </c>
      <c r="G51" s="19">
        <f>SUM(G52:G53)</f>
        <v>19350000</v>
      </c>
      <c r="H51" s="19">
        <f>SUM(H52:H53)</f>
        <v>0</v>
      </c>
      <c r="I51" s="19">
        <f>SUM(I52:I53)</f>
        <v>4249000</v>
      </c>
      <c r="J51" s="19">
        <f>SUM(J52:J53)</f>
        <v>15101000</v>
      </c>
    </row>
    <row r="52" spans="1:13" s="9" customFormat="1" x14ac:dyDescent="0.25">
      <c r="A52" s="39" t="s">
        <v>693</v>
      </c>
      <c r="B52" s="29" t="s">
        <v>1</v>
      </c>
      <c r="C52" s="30" t="s">
        <v>60</v>
      </c>
      <c r="D52" s="31">
        <v>150</v>
      </c>
      <c r="E52" s="32" t="s">
        <v>36</v>
      </c>
      <c r="F52" s="31">
        <v>69000</v>
      </c>
      <c r="G52" s="31">
        <f>ROUNDDOWN($D52*$F52,-3)</f>
        <v>10350000</v>
      </c>
      <c r="H52" s="31">
        <v>0</v>
      </c>
      <c r="I52" s="31">
        <f>SUMIF(dd_kuitansi[MAK],$A52,dd_kuitansi[Jumlah])</f>
        <v>0</v>
      </c>
      <c r="J52" s="31">
        <f>$G52-SUM($H52:$I52)</f>
        <v>10350000</v>
      </c>
      <c r="M52" s="184"/>
    </row>
    <row r="53" spans="1:13" x14ac:dyDescent="0.25">
      <c r="A53" s="40" t="s">
        <v>694</v>
      </c>
      <c r="B53" s="29" t="s">
        <v>1</v>
      </c>
      <c r="C53" s="30" t="s">
        <v>37</v>
      </c>
      <c r="D53" s="31">
        <v>6</v>
      </c>
      <c r="E53" s="32" t="s">
        <v>16</v>
      </c>
      <c r="F53" s="31">
        <v>1500000</v>
      </c>
      <c r="G53" s="31">
        <f>ROUNDDOWN($D53*$F53,-3)</f>
        <v>9000000</v>
      </c>
      <c r="H53" s="31">
        <v>0</v>
      </c>
      <c r="I53" s="31">
        <f>SUMIF(dd_kuitansi[MAK],$A53,dd_kuitansi[Jumlah])</f>
        <v>4249000</v>
      </c>
      <c r="J53" s="31">
        <f>$G53-SUM($H53:$I53)</f>
        <v>4751000</v>
      </c>
    </row>
    <row r="54" spans="1:13" x14ac:dyDescent="0.25">
      <c r="A54" s="40" t="s">
        <v>450</v>
      </c>
      <c r="B54" s="17" t="s">
        <v>38</v>
      </c>
      <c r="C54" s="18" t="s">
        <v>39</v>
      </c>
      <c r="D54" s="19">
        <v>0</v>
      </c>
      <c r="E54" s="20" t="s">
        <v>1</v>
      </c>
      <c r="F54" s="19">
        <v>0</v>
      </c>
      <c r="G54" s="19">
        <f>G55</f>
        <v>130938000</v>
      </c>
      <c r="H54" s="19">
        <f>H55</f>
        <v>0</v>
      </c>
      <c r="I54" s="19">
        <f>I55</f>
        <v>0</v>
      </c>
      <c r="J54" s="19">
        <f>J55</f>
        <v>130938000</v>
      </c>
    </row>
    <row r="55" spans="1:13" x14ac:dyDescent="0.25">
      <c r="A55" s="40" t="s">
        <v>695</v>
      </c>
      <c r="B55" s="29" t="s">
        <v>1</v>
      </c>
      <c r="C55" s="30" t="s">
        <v>61</v>
      </c>
      <c r="D55" s="31">
        <v>2</v>
      </c>
      <c r="E55" s="32" t="s">
        <v>36</v>
      </c>
      <c r="F55" s="31">
        <v>65469000</v>
      </c>
      <c r="G55" s="31">
        <f>ROUNDDOWN($D55*$F55,-3)</f>
        <v>130938000</v>
      </c>
      <c r="H55" s="31">
        <v>0</v>
      </c>
      <c r="I55" s="31">
        <f>SUMIF(dd_kuitansi[MAK],$A55,dd_kuitansi[Jumlah])</f>
        <v>0</v>
      </c>
      <c r="J55" s="31">
        <f>$G55-SUM($H55:$I55)</f>
        <v>130938000</v>
      </c>
    </row>
    <row r="56" spans="1:13" s="9" customFormat="1" x14ac:dyDescent="0.25">
      <c r="A56" s="39" t="s">
        <v>451</v>
      </c>
      <c r="B56" s="17" t="s">
        <v>41</v>
      </c>
      <c r="C56" s="18" t="s">
        <v>42</v>
      </c>
      <c r="D56" s="19">
        <v>0</v>
      </c>
      <c r="E56" s="20" t="s">
        <v>1</v>
      </c>
      <c r="F56" s="19">
        <v>0</v>
      </c>
      <c r="G56" s="19">
        <f>SUM(G57:G58)</f>
        <v>15000000</v>
      </c>
      <c r="H56" s="19">
        <f>SUM(H57:H58)</f>
        <v>750000</v>
      </c>
      <c r="I56" s="19">
        <f>SUM(I57:I58)</f>
        <v>7920000</v>
      </c>
      <c r="J56" s="19">
        <f>SUM(J57:J58)</f>
        <v>6330000</v>
      </c>
      <c r="M56" s="184"/>
    </row>
    <row r="57" spans="1:13" s="9" customFormat="1" x14ac:dyDescent="0.25">
      <c r="A57" s="39" t="s">
        <v>696</v>
      </c>
      <c r="B57" s="29" t="s">
        <v>1</v>
      </c>
      <c r="C57" s="30" t="s">
        <v>45</v>
      </c>
      <c r="D57" s="31">
        <v>6</v>
      </c>
      <c r="E57" s="32" t="s">
        <v>16</v>
      </c>
      <c r="F57" s="31">
        <v>1000000</v>
      </c>
      <c r="G57" s="31">
        <f>ROUNDDOWN($D57*$F57,-3)</f>
        <v>6000000</v>
      </c>
      <c r="H57" s="31">
        <v>0</v>
      </c>
      <c r="I57" s="31">
        <f>SUMIF(dd_kuitansi[MAK],$A57,dd_kuitansi[Jumlah])</f>
        <v>0</v>
      </c>
      <c r="J57" s="31">
        <f>$G57-SUM($H57:$I57)</f>
        <v>6000000</v>
      </c>
      <c r="M57" s="184"/>
    </row>
    <row r="58" spans="1:13" x14ac:dyDescent="0.25">
      <c r="A58" s="40" t="s">
        <v>697</v>
      </c>
      <c r="B58" s="29" t="s">
        <v>1</v>
      </c>
      <c r="C58" s="30" t="s">
        <v>43</v>
      </c>
      <c r="D58" s="31">
        <v>6</v>
      </c>
      <c r="E58" s="32" t="s">
        <v>16</v>
      </c>
      <c r="F58" s="31">
        <v>1500000</v>
      </c>
      <c r="G58" s="31">
        <f>ROUNDDOWN($D58*$F58,-3)</f>
        <v>9000000</v>
      </c>
      <c r="H58" s="31">
        <v>750000</v>
      </c>
      <c r="I58" s="31">
        <f>SUMIF(dd_kuitansi[MAK],$A58,dd_kuitansi[Jumlah])</f>
        <v>7920000</v>
      </c>
      <c r="J58" s="31">
        <f>$G58-SUM($H58:$I58)</f>
        <v>330000</v>
      </c>
    </row>
    <row r="59" spans="1:13" x14ac:dyDescent="0.25">
      <c r="A59" s="40" t="s">
        <v>452</v>
      </c>
      <c r="B59" s="17" t="s">
        <v>46</v>
      </c>
      <c r="C59" s="18" t="s">
        <v>47</v>
      </c>
      <c r="D59" s="19">
        <v>0</v>
      </c>
      <c r="E59" s="20" t="s">
        <v>1</v>
      </c>
      <c r="F59" s="19">
        <v>0</v>
      </c>
      <c r="G59" s="19">
        <f>G60</f>
        <v>10000000</v>
      </c>
      <c r="H59" s="19">
        <f>H60</f>
        <v>0</v>
      </c>
      <c r="I59" s="19">
        <f>I60</f>
        <v>0</v>
      </c>
      <c r="J59" s="19">
        <f>J60</f>
        <v>10000000</v>
      </c>
    </row>
    <row r="60" spans="1:13" s="9" customFormat="1" x14ac:dyDescent="0.25">
      <c r="A60" s="39" t="s">
        <v>698</v>
      </c>
      <c r="B60" s="29" t="s">
        <v>1</v>
      </c>
      <c r="C60" s="30" t="s">
        <v>48</v>
      </c>
      <c r="D60" s="31">
        <v>10</v>
      </c>
      <c r="E60" s="32" t="s">
        <v>49</v>
      </c>
      <c r="F60" s="31">
        <v>1000000</v>
      </c>
      <c r="G60" s="31">
        <f>ROUNDDOWN($D60*$F60,-3)</f>
        <v>10000000</v>
      </c>
      <c r="H60" s="31">
        <v>0</v>
      </c>
      <c r="I60" s="31">
        <f>SUMIF(dd_kuitansi[MAK],$A60,dd_kuitansi[Jumlah])</f>
        <v>0</v>
      </c>
      <c r="J60" s="31">
        <f>$G60-SUM($H60:$I60)</f>
        <v>10000000</v>
      </c>
      <c r="M60" s="184"/>
    </row>
    <row r="61" spans="1:13" x14ac:dyDescent="0.25">
      <c r="A61" s="40" t="s">
        <v>453</v>
      </c>
      <c r="B61" s="17" t="s">
        <v>62</v>
      </c>
      <c r="C61" s="18" t="s">
        <v>63</v>
      </c>
      <c r="D61" s="19">
        <v>0</v>
      </c>
      <c r="E61" s="20" t="s">
        <v>1</v>
      </c>
      <c r="F61" s="19">
        <v>0</v>
      </c>
      <c r="G61" s="19">
        <f>G62</f>
        <v>312500000</v>
      </c>
      <c r="H61" s="19">
        <f>H62</f>
        <v>0</v>
      </c>
      <c r="I61" s="19">
        <f>I62</f>
        <v>0</v>
      </c>
      <c r="J61" s="19">
        <f>J62</f>
        <v>312500000</v>
      </c>
    </row>
    <row r="62" spans="1:13" s="9" customFormat="1" ht="25.5" x14ac:dyDescent="0.25">
      <c r="A62" s="39" t="s">
        <v>699</v>
      </c>
      <c r="B62" s="29" t="s">
        <v>1</v>
      </c>
      <c r="C62" s="30" t="s">
        <v>64</v>
      </c>
      <c r="D62" s="31">
        <v>5</v>
      </c>
      <c r="E62" s="32" t="s">
        <v>36</v>
      </c>
      <c r="F62" s="31">
        <v>62500000</v>
      </c>
      <c r="G62" s="31">
        <f>ROUNDDOWN($D62*$F62,-3)</f>
        <v>312500000</v>
      </c>
      <c r="H62" s="31">
        <v>0</v>
      </c>
      <c r="I62" s="31">
        <f>SUMIF(dd_kuitansi[MAK],$A62,dd_kuitansi[Jumlah])</f>
        <v>0</v>
      </c>
      <c r="J62" s="31">
        <f>$G62-SUM($H62:$I62)</f>
        <v>312500000</v>
      </c>
      <c r="M62" s="184"/>
    </row>
    <row r="63" spans="1:13" x14ac:dyDescent="0.25">
      <c r="A63" s="40" t="s">
        <v>394</v>
      </c>
      <c r="B63" s="25" t="s">
        <v>65</v>
      </c>
      <c r="C63" s="26" t="s">
        <v>66</v>
      </c>
      <c r="D63" s="27">
        <v>0</v>
      </c>
      <c r="E63" s="28" t="s">
        <v>1</v>
      </c>
      <c r="F63" s="27">
        <v>0</v>
      </c>
      <c r="G63" s="27">
        <f>SUM(G64,G67,G69,G72,G74,G76)</f>
        <v>7232767000</v>
      </c>
      <c r="H63" s="27">
        <f>SUM(H64,H67,H69,H72,H74,H76)</f>
        <v>0</v>
      </c>
      <c r="I63" s="27">
        <f>SUM(I64,I67,I69,I72,I74,I76)</f>
        <v>0</v>
      </c>
      <c r="J63" s="27">
        <f>SUM(J64,J67,J69,J72,J74,J76)</f>
        <v>7232767000</v>
      </c>
    </row>
    <row r="64" spans="1:13" x14ac:dyDescent="0.25">
      <c r="A64" s="40" t="s">
        <v>454</v>
      </c>
      <c r="B64" s="17" t="s">
        <v>33</v>
      </c>
      <c r="C64" s="18" t="s">
        <v>34</v>
      </c>
      <c r="D64" s="19">
        <v>0</v>
      </c>
      <c r="E64" s="20" t="s">
        <v>1</v>
      </c>
      <c r="F64" s="19">
        <v>0</v>
      </c>
      <c r="G64" s="19">
        <f>SUM(G65:G66)</f>
        <v>52500000</v>
      </c>
      <c r="H64" s="19">
        <f>SUM(H65:H66)</f>
        <v>0</v>
      </c>
      <c r="I64" s="19">
        <f>SUM(I65:I66)</f>
        <v>0</v>
      </c>
      <c r="J64" s="19">
        <f>SUM(J65:J66)</f>
        <v>52500000</v>
      </c>
    </row>
    <row r="65" spans="1:13" s="9" customFormat="1" x14ac:dyDescent="0.25">
      <c r="A65" s="39" t="s">
        <v>700</v>
      </c>
      <c r="B65" s="29" t="s">
        <v>1</v>
      </c>
      <c r="C65" s="30" t="s">
        <v>37</v>
      </c>
      <c r="D65" s="31">
        <v>12</v>
      </c>
      <c r="E65" s="32" t="s">
        <v>16</v>
      </c>
      <c r="F65" s="31">
        <v>1500000</v>
      </c>
      <c r="G65" s="31">
        <f>ROUNDDOWN($D65*$F65,-3)</f>
        <v>18000000</v>
      </c>
      <c r="H65" s="31">
        <v>0</v>
      </c>
      <c r="I65" s="31">
        <f>SUMIF(dd_kuitansi[MAK],$A65,dd_kuitansi[Jumlah])</f>
        <v>0</v>
      </c>
      <c r="J65" s="31">
        <f>$G65-SUM($H65:$I65)</f>
        <v>18000000</v>
      </c>
      <c r="M65" s="184"/>
    </row>
    <row r="66" spans="1:13" x14ac:dyDescent="0.25">
      <c r="A66" s="40" t="s">
        <v>701</v>
      </c>
      <c r="B66" s="29" t="s">
        <v>1</v>
      </c>
      <c r="C66" s="30" t="s">
        <v>60</v>
      </c>
      <c r="D66" s="31">
        <v>500</v>
      </c>
      <c r="E66" s="32" t="s">
        <v>36</v>
      </c>
      <c r="F66" s="31">
        <v>69000</v>
      </c>
      <c r="G66" s="31">
        <f>ROUNDDOWN($D66*$F66,-3)</f>
        <v>34500000</v>
      </c>
      <c r="H66" s="31">
        <v>0</v>
      </c>
      <c r="I66" s="31">
        <f>SUMIF(dd_kuitansi[MAK],$A66,dd_kuitansi[Jumlah])</f>
        <v>0</v>
      </c>
      <c r="J66" s="31">
        <f>$G66-SUM($H66:$I66)</f>
        <v>34500000</v>
      </c>
    </row>
    <row r="67" spans="1:13" s="9" customFormat="1" x14ac:dyDescent="0.25">
      <c r="A67" s="39" t="s">
        <v>455</v>
      </c>
      <c r="B67" s="17" t="s">
        <v>38</v>
      </c>
      <c r="C67" s="18" t="s">
        <v>39</v>
      </c>
      <c r="D67" s="19">
        <v>0</v>
      </c>
      <c r="E67" s="20" t="s">
        <v>1</v>
      </c>
      <c r="F67" s="19">
        <v>0</v>
      </c>
      <c r="G67" s="19">
        <f>G68</f>
        <v>6903000000</v>
      </c>
      <c r="H67" s="19">
        <f>H68</f>
        <v>0</v>
      </c>
      <c r="I67" s="19">
        <f>I68</f>
        <v>0</v>
      </c>
      <c r="J67" s="19">
        <f>J68</f>
        <v>6903000000</v>
      </c>
      <c r="M67" s="184"/>
    </row>
    <row r="68" spans="1:13" x14ac:dyDescent="0.25">
      <c r="A68" s="40" t="s">
        <v>702</v>
      </c>
      <c r="B68" s="29" t="s">
        <v>1</v>
      </c>
      <c r="C68" s="30" t="s">
        <v>67</v>
      </c>
      <c r="D68" s="31">
        <v>118</v>
      </c>
      <c r="E68" s="32" t="s">
        <v>36</v>
      </c>
      <c r="F68" s="31">
        <v>58500000</v>
      </c>
      <c r="G68" s="31">
        <f>ROUNDDOWN($D68*$F68,-3)</f>
        <v>6903000000</v>
      </c>
      <c r="H68" s="31">
        <v>0</v>
      </c>
      <c r="I68" s="31">
        <f>SUMIF(dd_kuitansi[MAK],$A68,dd_kuitansi[Jumlah])</f>
        <v>0</v>
      </c>
      <c r="J68" s="31">
        <f>$G68-SUM($H68:$I68)</f>
        <v>6903000000</v>
      </c>
    </row>
    <row r="69" spans="1:13" s="9" customFormat="1" x14ac:dyDescent="0.25">
      <c r="A69" s="39" t="s">
        <v>456</v>
      </c>
      <c r="B69" s="17" t="s">
        <v>41</v>
      </c>
      <c r="C69" s="18" t="s">
        <v>42</v>
      </c>
      <c r="D69" s="19">
        <v>0</v>
      </c>
      <c r="E69" s="20" t="s">
        <v>1</v>
      </c>
      <c r="F69" s="19">
        <v>0</v>
      </c>
      <c r="G69" s="19">
        <f>SUM(G70:G71)</f>
        <v>30000000</v>
      </c>
      <c r="H69" s="19">
        <f>SUM(H70:H71)</f>
        <v>0</v>
      </c>
      <c r="I69" s="19">
        <f>SUM(I70:I71)</f>
        <v>0</v>
      </c>
      <c r="J69" s="19">
        <f>SUM(J70:J71)</f>
        <v>30000000</v>
      </c>
      <c r="M69" s="184"/>
    </row>
    <row r="70" spans="1:13" s="9" customFormat="1" x14ac:dyDescent="0.25">
      <c r="A70" s="39" t="s">
        <v>703</v>
      </c>
      <c r="B70" s="29" t="s">
        <v>1</v>
      </c>
      <c r="C70" s="30" t="s">
        <v>45</v>
      </c>
      <c r="D70" s="31">
        <v>12</v>
      </c>
      <c r="E70" s="32" t="s">
        <v>16</v>
      </c>
      <c r="F70" s="31">
        <v>1000000</v>
      </c>
      <c r="G70" s="31">
        <f>ROUNDDOWN($D70*$F70,-3)</f>
        <v>12000000</v>
      </c>
      <c r="H70" s="31">
        <v>0</v>
      </c>
      <c r="I70" s="31">
        <f>SUMIF(dd_kuitansi[MAK],$A70,dd_kuitansi[Jumlah])</f>
        <v>0</v>
      </c>
      <c r="J70" s="31">
        <f>$G70-SUM($H70:$I70)</f>
        <v>12000000</v>
      </c>
      <c r="M70" s="184"/>
    </row>
    <row r="71" spans="1:13" x14ac:dyDescent="0.25">
      <c r="A71" s="40" t="s">
        <v>704</v>
      </c>
      <c r="B71" s="29" t="s">
        <v>1</v>
      </c>
      <c r="C71" s="30" t="s">
        <v>43</v>
      </c>
      <c r="D71" s="31">
        <v>12</v>
      </c>
      <c r="E71" s="32" t="s">
        <v>16</v>
      </c>
      <c r="F71" s="31">
        <v>1500000</v>
      </c>
      <c r="G71" s="31">
        <f>ROUNDDOWN($D71*$F71,-3)</f>
        <v>18000000</v>
      </c>
      <c r="H71" s="31">
        <v>0</v>
      </c>
      <c r="I71" s="31">
        <f>SUMIF(dd_kuitansi[MAK],$A71,dd_kuitansi[Jumlah])</f>
        <v>0</v>
      </c>
      <c r="J71" s="31">
        <f>$G71-SUM($H71:$I71)</f>
        <v>18000000</v>
      </c>
    </row>
    <row r="72" spans="1:13" x14ac:dyDescent="0.25">
      <c r="A72" s="40" t="s">
        <v>457</v>
      </c>
      <c r="B72" s="17" t="s">
        <v>46</v>
      </c>
      <c r="C72" s="18" t="s">
        <v>47</v>
      </c>
      <c r="D72" s="19">
        <v>0</v>
      </c>
      <c r="E72" s="20" t="s">
        <v>1</v>
      </c>
      <c r="F72" s="19">
        <v>0</v>
      </c>
      <c r="G72" s="19">
        <f>G73</f>
        <v>8000000</v>
      </c>
      <c r="H72" s="19">
        <f>H73</f>
        <v>0</v>
      </c>
      <c r="I72" s="19">
        <f>I73</f>
        <v>0</v>
      </c>
      <c r="J72" s="19">
        <f>J73</f>
        <v>8000000</v>
      </c>
    </row>
    <row r="73" spans="1:13" s="9" customFormat="1" x14ac:dyDescent="0.25">
      <c r="A73" s="39" t="s">
        <v>705</v>
      </c>
      <c r="B73" s="29" t="s">
        <v>1</v>
      </c>
      <c r="C73" s="30" t="s">
        <v>48</v>
      </c>
      <c r="D73" s="31">
        <v>8</v>
      </c>
      <c r="E73" s="32" t="s">
        <v>49</v>
      </c>
      <c r="F73" s="31">
        <v>1000000</v>
      </c>
      <c r="G73" s="31">
        <f>ROUNDDOWN($D73*$F73,-3)</f>
        <v>8000000</v>
      </c>
      <c r="H73" s="31">
        <v>0</v>
      </c>
      <c r="I73" s="31">
        <f>SUMIF(dd_kuitansi[MAK],$A73,dd_kuitansi[Jumlah])</f>
        <v>0</v>
      </c>
      <c r="J73" s="31">
        <f>$G73-SUM($H73:$I73)</f>
        <v>8000000</v>
      </c>
      <c r="M73" s="184"/>
    </row>
    <row r="74" spans="1:13" x14ac:dyDescent="0.25">
      <c r="A74" s="40" t="s">
        <v>458</v>
      </c>
      <c r="B74" s="17" t="s">
        <v>50</v>
      </c>
      <c r="C74" s="18" t="s">
        <v>51</v>
      </c>
      <c r="D74" s="19">
        <v>0</v>
      </c>
      <c r="E74" s="20" t="s">
        <v>1</v>
      </c>
      <c r="F74" s="19">
        <v>0</v>
      </c>
      <c r="G74" s="19">
        <f>G75</f>
        <v>164267000</v>
      </c>
      <c r="H74" s="19">
        <f>H75</f>
        <v>0</v>
      </c>
      <c r="I74" s="19">
        <f>I75</f>
        <v>0</v>
      </c>
      <c r="J74" s="19">
        <f>J75</f>
        <v>164267000</v>
      </c>
    </row>
    <row r="75" spans="1:13" s="9" customFormat="1" ht="25.5" x14ac:dyDescent="0.25">
      <c r="A75" s="39" t="s">
        <v>706</v>
      </c>
      <c r="B75" s="29" t="s">
        <v>1</v>
      </c>
      <c r="C75" s="30" t="s">
        <v>53</v>
      </c>
      <c r="D75" s="31">
        <v>25</v>
      </c>
      <c r="E75" s="32" t="s">
        <v>36</v>
      </c>
      <c r="F75" s="31">
        <v>6570715</v>
      </c>
      <c r="G75" s="31">
        <f>ROUNDDOWN($D75*$F75,-3)</f>
        <v>164267000</v>
      </c>
      <c r="H75" s="31">
        <v>0</v>
      </c>
      <c r="I75" s="31">
        <f>SUMIF(dd_kuitansi[MAK],$A75,dd_kuitansi[Jumlah])</f>
        <v>0</v>
      </c>
      <c r="J75" s="31">
        <f>$G75-SUM($H75:$I75)</f>
        <v>164267000</v>
      </c>
      <c r="M75" s="184"/>
    </row>
    <row r="76" spans="1:13" x14ac:dyDescent="0.25">
      <c r="A76" s="40" t="s">
        <v>459</v>
      </c>
      <c r="B76" s="17" t="s">
        <v>54</v>
      </c>
      <c r="C76" s="18" t="s">
        <v>55</v>
      </c>
      <c r="D76" s="19">
        <v>0</v>
      </c>
      <c r="E76" s="20" t="s">
        <v>1</v>
      </c>
      <c r="F76" s="19">
        <v>0</v>
      </c>
      <c r="G76" s="31">
        <f>SUM(G77:G79)</f>
        <v>75000000</v>
      </c>
      <c r="H76" s="31">
        <f>SUM(H77:H79)</f>
        <v>0</v>
      </c>
      <c r="I76" s="31">
        <f>SUM(I77:I79)</f>
        <v>0</v>
      </c>
      <c r="J76" s="31">
        <f>SUM(J77:J79)</f>
        <v>75000000</v>
      </c>
    </row>
    <row r="77" spans="1:13" x14ac:dyDescent="0.25">
      <c r="A77" s="40" t="s">
        <v>707</v>
      </c>
      <c r="B77" s="29" t="s">
        <v>1</v>
      </c>
      <c r="C77" s="30" t="s">
        <v>56</v>
      </c>
      <c r="D77" s="31">
        <v>50</v>
      </c>
      <c r="E77" s="32" t="s">
        <v>36</v>
      </c>
      <c r="F77" s="31">
        <v>300000</v>
      </c>
      <c r="G77" s="31">
        <f>ROUNDDOWN($D77*$F77,-3)</f>
        <v>15000000</v>
      </c>
      <c r="H77" s="31">
        <v>0</v>
      </c>
      <c r="I77" s="31">
        <f>SUMIF(dd_kuitansi[MAK],$A77,dd_kuitansi[Jumlah])</f>
        <v>0</v>
      </c>
      <c r="J77" s="31">
        <f>$G77-SUM($H77:$I77)</f>
        <v>15000000</v>
      </c>
    </row>
    <row r="78" spans="1:13" s="9" customFormat="1" x14ac:dyDescent="0.25">
      <c r="A78" s="39" t="s">
        <v>708</v>
      </c>
      <c r="B78" s="29" t="s">
        <v>1</v>
      </c>
      <c r="C78" s="30" t="s">
        <v>57</v>
      </c>
      <c r="D78" s="31">
        <v>200</v>
      </c>
      <c r="E78" s="32" t="s">
        <v>36</v>
      </c>
      <c r="F78" s="31">
        <v>250000</v>
      </c>
      <c r="G78" s="31">
        <f>ROUNDDOWN($D78*$F78,-3)</f>
        <v>50000000</v>
      </c>
      <c r="H78" s="31">
        <v>0</v>
      </c>
      <c r="I78" s="31">
        <f>SUMIF(dd_kuitansi[MAK],$A78,dd_kuitansi[Jumlah])</f>
        <v>0</v>
      </c>
      <c r="J78" s="31">
        <f>$G78-SUM($H78:$I78)</f>
        <v>50000000</v>
      </c>
      <c r="M78" s="184"/>
    </row>
    <row r="79" spans="1:13" x14ac:dyDescent="0.25">
      <c r="A79" s="40" t="s">
        <v>709</v>
      </c>
      <c r="B79" s="29" t="s">
        <v>1</v>
      </c>
      <c r="C79" s="30" t="s">
        <v>58</v>
      </c>
      <c r="D79" s="31">
        <v>50</v>
      </c>
      <c r="E79" s="32" t="s">
        <v>36</v>
      </c>
      <c r="F79" s="31">
        <v>200000</v>
      </c>
      <c r="G79" s="31">
        <f>ROUNDDOWN($D79*$F79,-3)</f>
        <v>10000000</v>
      </c>
      <c r="H79" s="31">
        <v>0</v>
      </c>
      <c r="I79" s="31">
        <f>SUMIF(dd_kuitansi[MAK],$A79,dd_kuitansi[Jumlah])</f>
        <v>0</v>
      </c>
      <c r="J79" s="31">
        <f>$G79-SUM($H79:$I79)</f>
        <v>10000000</v>
      </c>
    </row>
    <row r="80" spans="1:13" s="9" customFormat="1" x14ac:dyDescent="0.25">
      <c r="A80" s="39" t="s">
        <v>395</v>
      </c>
      <c r="B80" s="25" t="s">
        <v>68</v>
      </c>
      <c r="C80" s="26" t="s">
        <v>69</v>
      </c>
      <c r="D80" s="27">
        <v>0</v>
      </c>
      <c r="E80" s="28" t="s">
        <v>1</v>
      </c>
      <c r="F80" s="27">
        <v>0</v>
      </c>
      <c r="G80" s="27">
        <f>SUM(G81,G84,G87,G89,G91)</f>
        <v>106520000</v>
      </c>
      <c r="H80" s="27">
        <f>SUM(H81,H84,H87,H89,H91)</f>
        <v>0</v>
      </c>
      <c r="I80" s="27">
        <f>SUM(I81,I84,I87,I89,I91)</f>
        <v>0</v>
      </c>
      <c r="J80" s="27">
        <f>SUM(J81,J84,J87,J89,J91)</f>
        <v>106520000</v>
      </c>
      <c r="M80" s="184"/>
    </row>
    <row r="81" spans="1:13" x14ac:dyDescent="0.25">
      <c r="A81" s="40" t="s">
        <v>460</v>
      </c>
      <c r="B81" s="17" t="s">
        <v>33</v>
      </c>
      <c r="C81" s="18" t="s">
        <v>34</v>
      </c>
      <c r="D81" s="19">
        <v>0</v>
      </c>
      <c r="E81" s="20" t="s">
        <v>1</v>
      </c>
      <c r="F81" s="19">
        <v>0</v>
      </c>
      <c r="G81" s="19">
        <f>SUM(G82:G83)</f>
        <v>23520000</v>
      </c>
      <c r="H81" s="19">
        <f>SUM(H82:H83)</f>
        <v>0</v>
      </c>
      <c r="I81" s="19">
        <f>SUM(I82:I83)</f>
        <v>0</v>
      </c>
      <c r="J81" s="19">
        <f>SUM(J82:J83)</f>
        <v>23520000</v>
      </c>
    </row>
    <row r="82" spans="1:13" s="9" customFormat="1" x14ac:dyDescent="0.25">
      <c r="A82" s="39" t="s">
        <v>710</v>
      </c>
      <c r="B82" s="29" t="s">
        <v>1</v>
      </c>
      <c r="C82" s="30" t="s">
        <v>60</v>
      </c>
      <c r="D82" s="31">
        <v>80</v>
      </c>
      <c r="E82" s="32" t="s">
        <v>36</v>
      </c>
      <c r="F82" s="31">
        <v>69000</v>
      </c>
      <c r="G82" s="31">
        <f>ROUNDDOWN($D82*$F82,-3)</f>
        <v>5520000</v>
      </c>
      <c r="H82" s="31">
        <v>0</v>
      </c>
      <c r="I82" s="31">
        <f>SUMIF(dd_kuitansi[MAK],$A82,dd_kuitansi[Jumlah])</f>
        <v>0</v>
      </c>
      <c r="J82" s="31">
        <f>$G82-SUM($H82:$I82)</f>
        <v>5520000</v>
      </c>
      <c r="M82" s="184"/>
    </row>
    <row r="83" spans="1:13" x14ac:dyDescent="0.25">
      <c r="A83" s="40" t="s">
        <v>711</v>
      </c>
      <c r="B83" s="29" t="s">
        <v>1</v>
      </c>
      <c r="C83" s="30" t="s">
        <v>37</v>
      </c>
      <c r="D83" s="31">
        <v>12</v>
      </c>
      <c r="E83" s="32" t="s">
        <v>16</v>
      </c>
      <c r="F83" s="31">
        <v>1500000</v>
      </c>
      <c r="G83" s="31">
        <f>ROUNDDOWN($D83*$F83,-3)</f>
        <v>18000000</v>
      </c>
      <c r="H83" s="31">
        <v>0</v>
      </c>
      <c r="I83" s="31">
        <f>SUMIF(dd_kuitansi[MAK],$A83,dd_kuitansi[Jumlah])</f>
        <v>0</v>
      </c>
      <c r="J83" s="31">
        <f>$G83-SUM($H83:$I83)</f>
        <v>18000000</v>
      </c>
    </row>
    <row r="84" spans="1:13" x14ac:dyDescent="0.25">
      <c r="A84" s="40" t="s">
        <v>461</v>
      </c>
      <c r="B84" s="17" t="s">
        <v>41</v>
      </c>
      <c r="C84" s="18" t="s">
        <v>42</v>
      </c>
      <c r="D84" s="19">
        <v>0</v>
      </c>
      <c r="E84" s="20" t="s">
        <v>1</v>
      </c>
      <c r="F84" s="19">
        <v>0</v>
      </c>
      <c r="G84" s="19">
        <f>SUM(G85:G86)</f>
        <v>30000000</v>
      </c>
      <c r="H84" s="19">
        <f>SUM(H85:H86)</f>
        <v>0</v>
      </c>
      <c r="I84" s="19">
        <f>SUM(I85:I86)</f>
        <v>0</v>
      </c>
      <c r="J84" s="19">
        <f>SUM(J85:J86)</f>
        <v>30000000</v>
      </c>
    </row>
    <row r="85" spans="1:13" x14ac:dyDescent="0.25">
      <c r="A85" s="40" t="s">
        <v>712</v>
      </c>
      <c r="B85" s="29" t="s">
        <v>1</v>
      </c>
      <c r="C85" s="30" t="s">
        <v>45</v>
      </c>
      <c r="D85" s="31">
        <v>12</v>
      </c>
      <c r="E85" s="32" t="s">
        <v>16</v>
      </c>
      <c r="F85" s="31">
        <v>1000000</v>
      </c>
      <c r="G85" s="31">
        <f>ROUNDDOWN($D85*$F85,-3)</f>
        <v>12000000</v>
      </c>
      <c r="H85" s="31">
        <v>0</v>
      </c>
      <c r="I85" s="31">
        <f>SUMIF(dd_kuitansi[MAK],$A85,dd_kuitansi[Jumlah])</f>
        <v>0</v>
      </c>
      <c r="J85" s="31">
        <f>$G85-SUM($H85:$I85)</f>
        <v>12000000</v>
      </c>
    </row>
    <row r="86" spans="1:13" s="9" customFormat="1" x14ac:dyDescent="0.25">
      <c r="A86" s="39" t="s">
        <v>713</v>
      </c>
      <c r="B86" s="29" t="s">
        <v>1</v>
      </c>
      <c r="C86" s="30" t="s">
        <v>43</v>
      </c>
      <c r="D86" s="31">
        <v>12</v>
      </c>
      <c r="E86" s="32" t="s">
        <v>16</v>
      </c>
      <c r="F86" s="31">
        <v>1500000</v>
      </c>
      <c r="G86" s="31">
        <f>ROUNDDOWN($D86*$F86,-3)</f>
        <v>18000000</v>
      </c>
      <c r="H86" s="31">
        <v>0</v>
      </c>
      <c r="I86" s="31">
        <f>SUMIF(dd_kuitansi[MAK],$A86,dd_kuitansi[Jumlah])</f>
        <v>0</v>
      </c>
      <c r="J86" s="31">
        <f>$G86-SUM($H86:$I86)</f>
        <v>18000000</v>
      </c>
      <c r="M86" s="184"/>
    </row>
    <row r="87" spans="1:13" s="9" customFormat="1" x14ac:dyDescent="0.25">
      <c r="A87" s="39" t="s">
        <v>462</v>
      </c>
      <c r="B87" s="17" t="s">
        <v>46</v>
      </c>
      <c r="C87" s="18" t="s">
        <v>47</v>
      </c>
      <c r="D87" s="19">
        <v>0</v>
      </c>
      <c r="E87" s="20" t="s">
        <v>1</v>
      </c>
      <c r="F87" s="19">
        <v>0</v>
      </c>
      <c r="G87" s="19">
        <f>G88</f>
        <v>5000000</v>
      </c>
      <c r="H87" s="19">
        <f>H88</f>
        <v>0</v>
      </c>
      <c r="I87" s="19">
        <f>I88</f>
        <v>0</v>
      </c>
      <c r="J87" s="19">
        <f>J88</f>
        <v>5000000</v>
      </c>
      <c r="M87" s="184"/>
    </row>
    <row r="88" spans="1:13" x14ac:dyDescent="0.25">
      <c r="A88" s="40" t="s">
        <v>714</v>
      </c>
      <c r="B88" s="29" t="s">
        <v>1</v>
      </c>
      <c r="C88" s="30" t="s">
        <v>48</v>
      </c>
      <c r="D88" s="31">
        <v>5</v>
      </c>
      <c r="E88" s="32" t="s">
        <v>49</v>
      </c>
      <c r="F88" s="31">
        <v>1000000</v>
      </c>
      <c r="G88" s="31">
        <f>ROUNDDOWN($D88*$F88,-3)</f>
        <v>5000000</v>
      </c>
      <c r="H88" s="31">
        <v>0</v>
      </c>
      <c r="I88" s="31">
        <f>SUMIF(dd_kuitansi[MAK],$A88,dd_kuitansi[Jumlah])</f>
        <v>0</v>
      </c>
      <c r="J88" s="31">
        <f>$G88-SUM($H88:$I88)</f>
        <v>5000000</v>
      </c>
    </row>
    <row r="89" spans="1:13" x14ac:dyDescent="0.25">
      <c r="A89" s="40" t="s">
        <v>463</v>
      </c>
      <c r="B89" s="17" t="s">
        <v>50</v>
      </c>
      <c r="C89" s="18" t="s">
        <v>51</v>
      </c>
      <c r="D89" s="19">
        <v>0</v>
      </c>
      <c r="E89" s="20" t="s">
        <v>1</v>
      </c>
      <c r="F89" s="19">
        <v>0</v>
      </c>
      <c r="G89" s="19">
        <f>G90</f>
        <v>33000000</v>
      </c>
      <c r="H89" s="19">
        <f>H90</f>
        <v>0</v>
      </c>
      <c r="I89" s="19">
        <f>I90</f>
        <v>0</v>
      </c>
      <c r="J89" s="19">
        <f>J90</f>
        <v>33000000</v>
      </c>
    </row>
    <row r="90" spans="1:13" s="9" customFormat="1" x14ac:dyDescent="0.25">
      <c r="A90" s="39" t="s">
        <v>715</v>
      </c>
      <c r="B90" s="29" t="s">
        <v>1</v>
      </c>
      <c r="C90" s="30" t="s">
        <v>70</v>
      </c>
      <c r="D90" s="31">
        <v>6</v>
      </c>
      <c r="E90" s="32" t="s">
        <v>36</v>
      </c>
      <c r="F90" s="31">
        <v>5500000</v>
      </c>
      <c r="G90" s="31">
        <f>ROUNDDOWN($D90*$F90,-3)</f>
        <v>33000000</v>
      </c>
      <c r="H90" s="31">
        <v>0</v>
      </c>
      <c r="I90" s="31">
        <f>SUMIF(dd_kuitansi[MAK],$A90,dd_kuitansi[Jumlah])</f>
        <v>0</v>
      </c>
      <c r="J90" s="31">
        <f>$G90-SUM($H90:$I90)</f>
        <v>33000000</v>
      </c>
      <c r="M90" s="184"/>
    </row>
    <row r="91" spans="1:13" x14ac:dyDescent="0.25">
      <c r="A91" s="40" t="s">
        <v>464</v>
      </c>
      <c r="B91" s="17" t="s">
        <v>54</v>
      </c>
      <c r="C91" s="18" t="s">
        <v>55</v>
      </c>
      <c r="D91" s="19">
        <v>0</v>
      </c>
      <c r="E91" s="20" t="s">
        <v>1</v>
      </c>
      <c r="F91" s="19">
        <v>0</v>
      </c>
      <c r="G91" s="31">
        <f>SUM(G92:G94)</f>
        <v>15000000</v>
      </c>
      <c r="H91" s="31">
        <f>SUM(H92:H94)</f>
        <v>0</v>
      </c>
      <c r="I91" s="31">
        <f>SUM(I92:I94)</f>
        <v>0</v>
      </c>
      <c r="J91" s="31">
        <f>SUM(J92:J94)</f>
        <v>15000000</v>
      </c>
    </row>
    <row r="92" spans="1:13" x14ac:dyDescent="0.25">
      <c r="A92" s="40" t="s">
        <v>716</v>
      </c>
      <c r="B92" s="29" t="s">
        <v>1</v>
      </c>
      <c r="C92" s="30" t="s">
        <v>56</v>
      </c>
      <c r="D92" s="31">
        <v>5</v>
      </c>
      <c r="E92" s="32" t="s">
        <v>36</v>
      </c>
      <c r="F92" s="31">
        <v>300000</v>
      </c>
      <c r="G92" s="31">
        <f>ROUNDDOWN($D92*$F92,-3)</f>
        <v>1500000</v>
      </c>
      <c r="H92" s="31">
        <v>0</v>
      </c>
      <c r="I92" s="31">
        <f>SUMIF(dd_kuitansi[MAK],$A92,dd_kuitansi[Jumlah])</f>
        <v>0</v>
      </c>
      <c r="J92" s="31">
        <f>$G92-SUM($H92:$I92)</f>
        <v>1500000</v>
      </c>
    </row>
    <row r="93" spans="1:13" s="9" customFormat="1" x14ac:dyDescent="0.25">
      <c r="A93" s="39" t="s">
        <v>717</v>
      </c>
      <c r="B93" s="29" t="s">
        <v>1</v>
      </c>
      <c r="C93" s="30" t="s">
        <v>57</v>
      </c>
      <c r="D93" s="31">
        <v>46</v>
      </c>
      <c r="E93" s="32" t="s">
        <v>36</v>
      </c>
      <c r="F93" s="31">
        <v>250000</v>
      </c>
      <c r="G93" s="31">
        <f>ROUNDDOWN($D93*$F93,-3)</f>
        <v>11500000</v>
      </c>
      <c r="H93" s="31">
        <v>0</v>
      </c>
      <c r="I93" s="31">
        <f>SUMIF(dd_kuitansi[MAK],$A93,dd_kuitansi[Jumlah])</f>
        <v>0</v>
      </c>
      <c r="J93" s="31">
        <f>$G93-SUM($H93:$I93)</f>
        <v>11500000</v>
      </c>
      <c r="M93" s="184"/>
    </row>
    <row r="94" spans="1:13" x14ac:dyDescent="0.25">
      <c r="A94" s="40" t="s">
        <v>718</v>
      </c>
      <c r="B94" s="29" t="s">
        <v>1</v>
      </c>
      <c r="C94" s="30" t="s">
        <v>58</v>
      </c>
      <c r="D94" s="31">
        <v>10</v>
      </c>
      <c r="E94" s="32" t="s">
        <v>36</v>
      </c>
      <c r="F94" s="31">
        <v>200000</v>
      </c>
      <c r="G94" s="31">
        <f>ROUNDDOWN($D94*$F94,-3)</f>
        <v>2000000</v>
      </c>
      <c r="H94" s="31">
        <v>0</v>
      </c>
      <c r="I94" s="31">
        <f>SUMIF(dd_kuitansi[MAK],$A94,dd_kuitansi[Jumlah])</f>
        <v>0</v>
      </c>
      <c r="J94" s="31">
        <f>$G94-SUM($H94:$I94)</f>
        <v>2000000</v>
      </c>
    </row>
    <row r="95" spans="1:13" s="9" customFormat="1" x14ac:dyDescent="0.25">
      <c r="A95" s="39" t="s">
        <v>71</v>
      </c>
      <c r="B95" s="13" t="s">
        <v>71</v>
      </c>
      <c r="C95" s="14" t="s">
        <v>72</v>
      </c>
      <c r="D95" s="15">
        <v>1</v>
      </c>
      <c r="E95" s="16" t="s">
        <v>73</v>
      </c>
      <c r="F95" s="15">
        <v>0</v>
      </c>
      <c r="G95" s="15">
        <f>G96</f>
        <v>3988650000</v>
      </c>
      <c r="H95" s="15">
        <f>H96</f>
        <v>0</v>
      </c>
      <c r="I95" s="15">
        <f>I96</f>
        <v>0</v>
      </c>
      <c r="J95" s="15">
        <f>J96</f>
        <v>3988650000</v>
      </c>
      <c r="M95" s="184"/>
    </row>
    <row r="96" spans="1:13" x14ac:dyDescent="0.25">
      <c r="A96" s="40" t="s">
        <v>74</v>
      </c>
      <c r="B96" s="17" t="s">
        <v>74</v>
      </c>
      <c r="C96" s="18" t="s">
        <v>75</v>
      </c>
      <c r="D96" s="19">
        <v>0</v>
      </c>
      <c r="E96" s="20" t="s">
        <v>1</v>
      </c>
      <c r="F96" s="19">
        <v>0</v>
      </c>
      <c r="G96" s="19">
        <f>SUM(G97,G255)</f>
        <v>3988650000</v>
      </c>
      <c r="H96" s="19">
        <f>SUM(H97,H255)</f>
        <v>0</v>
      </c>
      <c r="I96" s="19">
        <f>SUM(I97,I255)</f>
        <v>0</v>
      </c>
      <c r="J96" s="19">
        <f>SUM(J97,J255)</f>
        <v>3988650000</v>
      </c>
    </row>
    <row r="97" spans="1:13" s="9" customFormat="1" x14ac:dyDescent="0.25">
      <c r="A97" s="39" t="s">
        <v>381</v>
      </c>
      <c r="B97" s="21" t="s">
        <v>9</v>
      </c>
      <c r="C97" s="22" t="s">
        <v>76</v>
      </c>
      <c r="D97" s="23">
        <v>0</v>
      </c>
      <c r="E97" s="24" t="s">
        <v>1</v>
      </c>
      <c r="F97" s="23">
        <v>0</v>
      </c>
      <c r="G97" s="23">
        <f>SUM(G98,G115,G133,G150,G164,G185,G203,G221,G238)</f>
        <v>2112605000</v>
      </c>
      <c r="H97" s="23">
        <f>SUM(H98,H115,H133,H150,H164,H185,H203,H221,H238)</f>
        <v>0</v>
      </c>
      <c r="I97" s="23">
        <f>SUM(I98,I115,I133,I150,I164,I185,I203,I221,I238)</f>
        <v>0</v>
      </c>
      <c r="J97" s="23">
        <f>SUM(J98,J115,J133,J150,J164,J185,J203,J221,J238)</f>
        <v>2112605000</v>
      </c>
      <c r="M97" s="184"/>
    </row>
    <row r="98" spans="1:13" x14ac:dyDescent="0.25">
      <c r="A98" s="40" t="s">
        <v>396</v>
      </c>
      <c r="B98" s="25" t="s">
        <v>11</v>
      </c>
      <c r="C98" s="26" t="s">
        <v>77</v>
      </c>
      <c r="D98" s="27">
        <v>0</v>
      </c>
      <c r="E98" s="28" t="s">
        <v>1</v>
      </c>
      <c r="F98" s="27">
        <v>0</v>
      </c>
      <c r="G98" s="27">
        <f>SUM(G99,G107,G109,G111)</f>
        <v>323164000</v>
      </c>
      <c r="H98" s="27">
        <f>SUM(H99,H107,H109,H111)</f>
        <v>0</v>
      </c>
      <c r="I98" s="27">
        <f>SUM(I99,I107,I109,I111)</f>
        <v>0</v>
      </c>
      <c r="J98" s="27">
        <f>SUM(J99,J107,J109,J111)</f>
        <v>323164000</v>
      </c>
    </row>
    <row r="99" spans="1:13" x14ac:dyDescent="0.25">
      <c r="A99" s="40" t="s">
        <v>465</v>
      </c>
      <c r="B99" s="17" t="s">
        <v>33</v>
      </c>
      <c r="C99" s="18" t="s">
        <v>34</v>
      </c>
      <c r="D99" s="19">
        <v>0</v>
      </c>
      <c r="E99" s="20" t="s">
        <v>1</v>
      </c>
      <c r="F99" s="19">
        <v>0</v>
      </c>
      <c r="G99" s="19">
        <f>SUM(G100:G106)</f>
        <v>87260000</v>
      </c>
      <c r="H99" s="19">
        <f>SUM(H100:H106)</f>
        <v>0</v>
      </c>
      <c r="I99" s="19">
        <f>SUM(I100:I106)</f>
        <v>0</v>
      </c>
      <c r="J99" s="19">
        <f>SUM(J100:J106)</f>
        <v>87260000</v>
      </c>
    </row>
    <row r="100" spans="1:13" x14ac:dyDescent="0.25">
      <c r="A100" s="40" t="s">
        <v>719</v>
      </c>
      <c r="B100" s="29" t="s">
        <v>1</v>
      </c>
      <c r="C100" s="30" t="s">
        <v>37</v>
      </c>
      <c r="D100" s="31">
        <v>3</v>
      </c>
      <c r="E100" s="32" t="s">
        <v>16</v>
      </c>
      <c r="F100" s="31">
        <v>1000000</v>
      </c>
      <c r="G100" s="31">
        <f>ROUNDDOWN($D100*$F100,-3)</f>
        <v>3000000</v>
      </c>
      <c r="H100" s="31">
        <v>0</v>
      </c>
      <c r="I100" s="31">
        <f>SUMIF(dd_kuitansi[MAK],$A100,dd_kuitansi[Jumlah])</f>
        <v>0</v>
      </c>
      <c r="J100" s="31">
        <f>$G100-SUM($H100:$I100)</f>
        <v>3000000</v>
      </c>
    </row>
    <row r="101" spans="1:13" s="9" customFormat="1" x14ac:dyDescent="0.25">
      <c r="A101" s="39" t="s">
        <v>720</v>
      </c>
      <c r="B101" s="29" t="s">
        <v>1</v>
      </c>
      <c r="C101" s="30" t="s">
        <v>45</v>
      </c>
      <c r="D101" s="31">
        <v>5</v>
      </c>
      <c r="E101" s="32" t="s">
        <v>16</v>
      </c>
      <c r="F101" s="31">
        <v>1000000</v>
      </c>
      <c r="G101" s="31">
        <f>ROUNDDOWN($D101*$F101,-3)</f>
        <v>5000000</v>
      </c>
      <c r="H101" s="31">
        <v>0</v>
      </c>
      <c r="I101" s="31">
        <f>SUMIF(dd_kuitansi[MAK],$A101,dd_kuitansi[Jumlah])</f>
        <v>0</v>
      </c>
      <c r="J101" s="31">
        <f>$G101-SUM($H101:$I101)</f>
        <v>5000000</v>
      </c>
      <c r="M101" s="184"/>
    </row>
    <row r="102" spans="1:13" s="9" customFormat="1" x14ac:dyDescent="0.25">
      <c r="A102" s="39" t="s">
        <v>721</v>
      </c>
      <c r="B102" s="29" t="s">
        <v>1</v>
      </c>
      <c r="C102" s="30" t="s">
        <v>43</v>
      </c>
      <c r="D102" s="31">
        <v>5</v>
      </c>
      <c r="E102" s="32" t="s">
        <v>16</v>
      </c>
      <c r="F102" s="31">
        <v>1500000</v>
      </c>
      <c r="G102" s="31">
        <f>ROUNDDOWN($D102*$F102,-3)</f>
        <v>7500000</v>
      </c>
      <c r="H102" s="31">
        <v>0</v>
      </c>
      <c r="I102" s="31">
        <f>SUMIF(dd_kuitansi[MAK],$A102,dd_kuitansi[Jumlah])</f>
        <v>0</v>
      </c>
      <c r="J102" s="31">
        <f>$G102-SUM($H102:$I102)</f>
        <v>7500000</v>
      </c>
      <c r="M102" s="184"/>
    </row>
    <row r="103" spans="1:13" s="9" customFormat="1" x14ac:dyDescent="0.25">
      <c r="A103" s="39"/>
      <c r="B103" s="29" t="s">
        <v>1</v>
      </c>
      <c r="C103" s="33" t="s">
        <v>78</v>
      </c>
      <c r="D103" s="31">
        <v>0</v>
      </c>
      <c r="E103" s="32" t="s">
        <v>1</v>
      </c>
      <c r="F103" s="31">
        <v>0</v>
      </c>
      <c r="G103" s="31">
        <v>0</v>
      </c>
      <c r="H103" s="31">
        <v>0</v>
      </c>
      <c r="I103" s="31">
        <v>0</v>
      </c>
      <c r="J103" s="31">
        <v>0</v>
      </c>
      <c r="M103" s="184"/>
    </row>
    <row r="104" spans="1:13" s="9" customFormat="1" x14ac:dyDescent="0.25">
      <c r="A104" s="39" t="s">
        <v>722</v>
      </c>
      <c r="B104" s="29" t="s">
        <v>1</v>
      </c>
      <c r="C104" s="30" t="s">
        <v>79</v>
      </c>
      <c r="D104" s="31">
        <v>440</v>
      </c>
      <c r="E104" s="32" t="s">
        <v>36</v>
      </c>
      <c r="F104" s="31">
        <v>69000</v>
      </c>
      <c r="G104" s="31">
        <f>ROUNDDOWN($D104*$F104,-3)</f>
        <v>30360000</v>
      </c>
      <c r="H104" s="31">
        <v>0</v>
      </c>
      <c r="I104" s="31">
        <f>SUMIF(dd_kuitansi[MAK],$A104,dd_kuitansi[Jumlah])</f>
        <v>0</v>
      </c>
      <c r="J104" s="31">
        <f>$G104-SUM($H104:$I104)</f>
        <v>30360000</v>
      </c>
      <c r="M104" s="184"/>
    </row>
    <row r="105" spans="1:13" s="9" customFormat="1" x14ac:dyDescent="0.25">
      <c r="A105" s="39" t="s">
        <v>723</v>
      </c>
      <c r="B105" s="29" t="s">
        <v>1</v>
      </c>
      <c r="C105" s="30" t="s">
        <v>80</v>
      </c>
      <c r="D105" s="31">
        <v>180</v>
      </c>
      <c r="E105" s="32" t="s">
        <v>36</v>
      </c>
      <c r="F105" s="31">
        <v>69000</v>
      </c>
      <c r="G105" s="31">
        <f>ROUNDDOWN($D105*$F105,-3)</f>
        <v>12420000</v>
      </c>
      <c r="H105" s="31">
        <v>0</v>
      </c>
      <c r="I105" s="31">
        <f>SUMIF(dd_kuitansi[MAK],$A105,dd_kuitansi[Jumlah])</f>
        <v>0</v>
      </c>
      <c r="J105" s="31">
        <f>$G105-SUM($H105:$I105)</f>
        <v>12420000</v>
      </c>
      <c r="M105" s="184"/>
    </row>
    <row r="106" spans="1:13" x14ac:dyDescent="0.25">
      <c r="A106" s="40" t="s">
        <v>724</v>
      </c>
      <c r="B106" s="29" t="s">
        <v>1</v>
      </c>
      <c r="C106" s="30" t="s">
        <v>81</v>
      </c>
      <c r="D106" s="31">
        <v>420</v>
      </c>
      <c r="E106" s="32" t="s">
        <v>36</v>
      </c>
      <c r="F106" s="31">
        <v>69000</v>
      </c>
      <c r="G106" s="31">
        <f>ROUNDDOWN($D106*$F106,-3)</f>
        <v>28980000</v>
      </c>
      <c r="H106" s="31">
        <v>0</v>
      </c>
      <c r="I106" s="31">
        <f>SUMIF(dd_kuitansi[MAK],$A106,dd_kuitansi[Jumlah])</f>
        <v>0</v>
      </c>
      <c r="J106" s="31">
        <f>$G106-SUM($H106:$I106)</f>
        <v>28980000</v>
      </c>
    </row>
    <row r="107" spans="1:13" x14ac:dyDescent="0.25">
      <c r="A107" s="40" t="s">
        <v>466</v>
      </c>
      <c r="B107" s="17" t="s">
        <v>46</v>
      </c>
      <c r="C107" s="18" t="s">
        <v>47</v>
      </c>
      <c r="D107" s="19">
        <v>0</v>
      </c>
      <c r="E107" s="20" t="s">
        <v>1</v>
      </c>
      <c r="F107" s="19">
        <v>0</v>
      </c>
      <c r="G107" s="19">
        <f>G108</f>
        <v>50000000</v>
      </c>
      <c r="H107" s="19">
        <f>H108</f>
        <v>0</v>
      </c>
      <c r="I107" s="19">
        <f>I108</f>
        <v>0</v>
      </c>
      <c r="J107" s="19">
        <f>J108</f>
        <v>50000000</v>
      </c>
    </row>
    <row r="108" spans="1:13" x14ac:dyDescent="0.25">
      <c r="A108" s="40" t="s">
        <v>725</v>
      </c>
      <c r="B108" s="29" t="s">
        <v>1</v>
      </c>
      <c r="C108" s="30" t="s">
        <v>82</v>
      </c>
      <c r="D108" s="31">
        <v>50</v>
      </c>
      <c r="E108" s="32" t="s">
        <v>49</v>
      </c>
      <c r="F108" s="31">
        <v>1000000</v>
      </c>
      <c r="G108" s="31">
        <f>ROUNDDOWN($D108*$F108,-3)</f>
        <v>50000000</v>
      </c>
      <c r="H108" s="31">
        <v>0</v>
      </c>
      <c r="I108" s="31">
        <f>SUMIF(dd_kuitansi[MAK],$A108,dd_kuitansi[Jumlah])</f>
        <v>0</v>
      </c>
      <c r="J108" s="31">
        <f>$G108-SUM($H108:$I108)</f>
        <v>50000000</v>
      </c>
    </row>
    <row r="109" spans="1:13" x14ac:dyDescent="0.25">
      <c r="A109" s="40" t="s">
        <v>467</v>
      </c>
      <c r="B109" s="17" t="s">
        <v>50</v>
      </c>
      <c r="C109" s="18" t="s">
        <v>51</v>
      </c>
      <c r="D109" s="19">
        <v>0</v>
      </c>
      <c r="E109" s="20" t="s">
        <v>1</v>
      </c>
      <c r="F109" s="19">
        <v>0</v>
      </c>
      <c r="G109" s="19">
        <f>G110</f>
        <v>115904000</v>
      </c>
      <c r="H109" s="19">
        <f>H110</f>
        <v>0</v>
      </c>
      <c r="I109" s="19">
        <f>I110</f>
        <v>0</v>
      </c>
      <c r="J109" s="19">
        <f>J110</f>
        <v>115904000</v>
      </c>
    </row>
    <row r="110" spans="1:13" ht="25.5" x14ac:dyDescent="0.25">
      <c r="A110" s="40" t="s">
        <v>726</v>
      </c>
      <c r="B110" s="29" t="s">
        <v>1</v>
      </c>
      <c r="C110" s="30" t="s">
        <v>83</v>
      </c>
      <c r="D110" s="31">
        <v>17</v>
      </c>
      <c r="E110" s="32" t="s">
        <v>36</v>
      </c>
      <c r="F110" s="31">
        <v>6817890</v>
      </c>
      <c r="G110" s="31">
        <f>ROUNDDOWN($D110*$F110,-3)</f>
        <v>115904000</v>
      </c>
      <c r="H110" s="31">
        <v>0</v>
      </c>
      <c r="I110" s="31">
        <f>SUMIF(dd_kuitansi[MAK],$A110,dd_kuitansi[Jumlah])</f>
        <v>0</v>
      </c>
      <c r="J110" s="31">
        <f>$G110-SUM($H110:$I110)</f>
        <v>115904000</v>
      </c>
    </row>
    <row r="111" spans="1:13" x14ac:dyDescent="0.25">
      <c r="A111" s="40" t="s">
        <v>468</v>
      </c>
      <c r="B111" s="17" t="s">
        <v>54</v>
      </c>
      <c r="C111" s="18" t="s">
        <v>55</v>
      </c>
      <c r="D111" s="19">
        <v>0</v>
      </c>
      <c r="E111" s="20" t="s">
        <v>1</v>
      </c>
      <c r="F111" s="19">
        <v>0</v>
      </c>
      <c r="G111" s="31">
        <f>SUM(G112:G114)</f>
        <v>70000000</v>
      </c>
      <c r="H111" s="31">
        <f>SUM(H112:H114)</f>
        <v>0</v>
      </c>
      <c r="I111" s="31">
        <f>SUM(I112:I114)</f>
        <v>0</v>
      </c>
      <c r="J111" s="31">
        <f>SUM(J112:J114)</f>
        <v>70000000</v>
      </c>
    </row>
    <row r="112" spans="1:13" x14ac:dyDescent="0.25">
      <c r="A112" s="40" t="s">
        <v>727</v>
      </c>
      <c r="B112" s="29" t="s">
        <v>1</v>
      </c>
      <c r="C112" s="30" t="s">
        <v>56</v>
      </c>
      <c r="D112" s="31">
        <v>20</v>
      </c>
      <c r="E112" s="32" t="s">
        <v>36</v>
      </c>
      <c r="F112" s="31">
        <v>300000</v>
      </c>
      <c r="G112" s="31">
        <f>ROUNDDOWN($D112*$F112,-3)</f>
        <v>6000000</v>
      </c>
      <c r="H112" s="31">
        <v>0</v>
      </c>
      <c r="I112" s="31">
        <f>SUMIF(dd_kuitansi[MAK],$A112,dd_kuitansi[Jumlah])</f>
        <v>0</v>
      </c>
      <c r="J112" s="31">
        <f>$G112-SUM($H112:$I112)</f>
        <v>6000000</v>
      </c>
    </row>
    <row r="113" spans="1:13" s="9" customFormat="1" x14ac:dyDescent="0.25">
      <c r="A113" s="39" t="s">
        <v>728</v>
      </c>
      <c r="B113" s="29" t="s">
        <v>1</v>
      </c>
      <c r="C113" s="30" t="s">
        <v>57</v>
      </c>
      <c r="D113" s="31">
        <v>240</v>
      </c>
      <c r="E113" s="32" t="s">
        <v>36</v>
      </c>
      <c r="F113" s="31">
        <v>250000</v>
      </c>
      <c r="G113" s="31">
        <f>ROUNDDOWN($D113*$F113,-3)</f>
        <v>60000000</v>
      </c>
      <c r="H113" s="31">
        <v>0</v>
      </c>
      <c r="I113" s="31">
        <f>SUMIF(dd_kuitansi[MAK],$A113,dd_kuitansi[Jumlah])</f>
        <v>0</v>
      </c>
      <c r="J113" s="31">
        <f>$G113-SUM($H113:$I113)</f>
        <v>60000000</v>
      </c>
      <c r="M113" s="184"/>
    </row>
    <row r="114" spans="1:13" x14ac:dyDescent="0.25">
      <c r="A114" s="40" t="s">
        <v>729</v>
      </c>
      <c r="B114" s="29" t="s">
        <v>1</v>
      </c>
      <c r="C114" s="30" t="s">
        <v>58</v>
      </c>
      <c r="D114" s="31">
        <v>20</v>
      </c>
      <c r="E114" s="32" t="s">
        <v>36</v>
      </c>
      <c r="F114" s="31">
        <v>200000</v>
      </c>
      <c r="G114" s="31">
        <f>ROUNDDOWN($D114*$F114,-3)</f>
        <v>4000000</v>
      </c>
      <c r="H114" s="31">
        <v>0</v>
      </c>
      <c r="I114" s="31">
        <f>SUMIF(dd_kuitansi[MAK],$A114,dd_kuitansi[Jumlah])</f>
        <v>0</v>
      </c>
      <c r="J114" s="31">
        <f>$G114-SUM($H114:$I114)</f>
        <v>4000000</v>
      </c>
    </row>
    <row r="115" spans="1:13" s="9" customFormat="1" x14ac:dyDescent="0.25">
      <c r="A115" s="39" t="s">
        <v>397</v>
      </c>
      <c r="B115" s="25" t="s">
        <v>17</v>
      </c>
      <c r="C115" s="26" t="s">
        <v>84</v>
      </c>
      <c r="D115" s="27">
        <v>0</v>
      </c>
      <c r="E115" s="28" t="s">
        <v>1</v>
      </c>
      <c r="F115" s="27">
        <v>0</v>
      </c>
      <c r="G115" s="27">
        <f>SUM(G116,G124,G126,G128)</f>
        <v>234148000</v>
      </c>
      <c r="H115" s="27">
        <f>SUM(H116,H124,H126,H128)</f>
        <v>0</v>
      </c>
      <c r="I115" s="27">
        <f>SUM(I116,I124,I126,I128)</f>
        <v>0</v>
      </c>
      <c r="J115" s="27">
        <f>SUM(J116,J124,J126,J128)</f>
        <v>234148000</v>
      </c>
      <c r="M115" s="184"/>
    </row>
    <row r="116" spans="1:13" x14ac:dyDescent="0.25">
      <c r="A116" s="40" t="s">
        <v>469</v>
      </c>
      <c r="B116" s="17" t="s">
        <v>33</v>
      </c>
      <c r="C116" s="18" t="s">
        <v>34</v>
      </c>
      <c r="D116" s="19">
        <v>0</v>
      </c>
      <c r="E116" s="20" t="s">
        <v>1</v>
      </c>
      <c r="F116" s="19">
        <v>0</v>
      </c>
      <c r="G116" s="19">
        <f>SUM(G117,G121,G122,G123)</f>
        <v>39101000</v>
      </c>
      <c r="H116" s="19">
        <f>SUM(H117,H121,H122,H123)</f>
        <v>0</v>
      </c>
      <c r="I116" s="19">
        <f>SUM(I117,I121,I122,I123)</f>
        <v>0</v>
      </c>
      <c r="J116" s="19">
        <f>SUM(J117,J121,J122,J123)</f>
        <v>39101000</v>
      </c>
    </row>
    <row r="117" spans="1:13" s="9" customFormat="1" x14ac:dyDescent="0.25">
      <c r="A117" s="39"/>
      <c r="B117" s="29" t="s">
        <v>1</v>
      </c>
      <c r="C117" s="33" t="s">
        <v>85</v>
      </c>
      <c r="D117" s="31">
        <v>0</v>
      </c>
      <c r="E117" s="32" t="s">
        <v>1</v>
      </c>
      <c r="F117" s="31">
        <v>0</v>
      </c>
      <c r="G117" s="31">
        <f>SUM(G118:G120)</f>
        <v>29601000</v>
      </c>
      <c r="H117" s="31">
        <f>SUM(H118:H120)</f>
        <v>0</v>
      </c>
      <c r="I117" s="31">
        <f>SUM(I118:I120)</f>
        <v>0</v>
      </c>
      <c r="J117" s="31">
        <f>SUM(J118:J120)</f>
        <v>29601000</v>
      </c>
      <c r="M117" s="184"/>
    </row>
    <row r="118" spans="1:13" x14ac:dyDescent="0.25">
      <c r="A118" s="40" t="s">
        <v>730</v>
      </c>
      <c r="B118" s="29" t="s">
        <v>1</v>
      </c>
      <c r="C118" s="30" t="s">
        <v>79</v>
      </c>
      <c r="D118" s="31">
        <v>153</v>
      </c>
      <c r="E118" s="32" t="s">
        <v>36</v>
      </c>
      <c r="F118" s="31">
        <v>69000</v>
      </c>
      <c r="G118" s="31">
        <f t="shared" ref="G118:G123" si="4">ROUNDDOWN($D118*$F118,-3)</f>
        <v>10557000</v>
      </c>
      <c r="H118" s="31">
        <v>0</v>
      </c>
      <c r="I118" s="31">
        <f>SUMIF(dd_kuitansi[MAK],$A118,dd_kuitansi[Jumlah])</f>
        <v>0</v>
      </c>
      <c r="J118" s="31">
        <f t="shared" ref="J118:J123" si="5">$G118-SUM($H118:$I118)</f>
        <v>10557000</v>
      </c>
    </row>
    <row r="119" spans="1:13" x14ac:dyDescent="0.25">
      <c r="A119" s="40" t="s">
        <v>731</v>
      </c>
      <c r="B119" s="29" t="s">
        <v>1</v>
      </c>
      <c r="C119" s="30" t="s">
        <v>86</v>
      </c>
      <c r="D119" s="31">
        <v>132</v>
      </c>
      <c r="E119" s="32" t="s">
        <v>36</v>
      </c>
      <c r="F119" s="31">
        <v>69000</v>
      </c>
      <c r="G119" s="31">
        <f t="shared" si="4"/>
        <v>9108000</v>
      </c>
      <c r="H119" s="31">
        <v>0</v>
      </c>
      <c r="I119" s="31">
        <f>SUMIF(dd_kuitansi[MAK],$A119,dd_kuitansi[Jumlah])</f>
        <v>0</v>
      </c>
      <c r="J119" s="31">
        <f t="shared" si="5"/>
        <v>9108000</v>
      </c>
    </row>
    <row r="120" spans="1:13" x14ac:dyDescent="0.25">
      <c r="A120" s="40" t="s">
        <v>732</v>
      </c>
      <c r="B120" s="29" t="s">
        <v>1</v>
      </c>
      <c r="C120" s="30" t="s">
        <v>87</v>
      </c>
      <c r="D120" s="31">
        <v>144</v>
      </c>
      <c r="E120" s="32" t="s">
        <v>36</v>
      </c>
      <c r="F120" s="31">
        <v>69000</v>
      </c>
      <c r="G120" s="31">
        <f t="shared" si="4"/>
        <v>9936000</v>
      </c>
      <c r="H120" s="31">
        <v>0</v>
      </c>
      <c r="I120" s="31">
        <f>SUMIF(dd_kuitansi[MAK],$A120,dd_kuitansi[Jumlah])</f>
        <v>0</v>
      </c>
      <c r="J120" s="31">
        <f t="shared" si="5"/>
        <v>9936000</v>
      </c>
    </row>
    <row r="121" spans="1:13" s="9" customFormat="1" x14ac:dyDescent="0.25">
      <c r="A121" s="39" t="s">
        <v>733</v>
      </c>
      <c r="B121" s="29" t="s">
        <v>1</v>
      </c>
      <c r="C121" s="30" t="s">
        <v>37</v>
      </c>
      <c r="D121" s="31">
        <v>2</v>
      </c>
      <c r="E121" s="32" t="s">
        <v>16</v>
      </c>
      <c r="F121" s="31">
        <v>1000000</v>
      </c>
      <c r="G121" s="31">
        <f t="shared" si="4"/>
        <v>2000000</v>
      </c>
      <c r="H121" s="31">
        <v>0</v>
      </c>
      <c r="I121" s="31">
        <f>SUMIF(dd_kuitansi[MAK],$A121,dd_kuitansi[Jumlah])</f>
        <v>0</v>
      </c>
      <c r="J121" s="31">
        <f t="shared" si="5"/>
        <v>2000000</v>
      </c>
      <c r="M121" s="184"/>
    </row>
    <row r="122" spans="1:13" s="9" customFormat="1" x14ac:dyDescent="0.25">
      <c r="A122" s="39" t="s">
        <v>734</v>
      </c>
      <c r="B122" s="29" t="s">
        <v>1</v>
      </c>
      <c r="C122" s="30" t="s">
        <v>45</v>
      </c>
      <c r="D122" s="31">
        <v>3</v>
      </c>
      <c r="E122" s="32" t="s">
        <v>16</v>
      </c>
      <c r="F122" s="31">
        <v>1000000</v>
      </c>
      <c r="G122" s="31">
        <f t="shared" si="4"/>
        <v>3000000</v>
      </c>
      <c r="H122" s="31">
        <v>0</v>
      </c>
      <c r="I122" s="31">
        <f>SUMIF(dd_kuitansi[MAK],$A122,dd_kuitansi[Jumlah])</f>
        <v>0</v>
      </c>
      <c r="J122" s="31">
        <f t="shared" si="5"/>
        <v>3000000</v>
      </c>
      <c r="M122" s="184"/>
    </row>
    <row r="123" spans="1:13" x14ac:dyDescent="0.25">
      <c r="A123" s="40" t="s">
        <v>735</v>
      </c>
      <c r="B123" s="29" t="s">
        <v>1</v>
      </c>
      <c r="C123" s="30" t="s">
        <v>88</v>
      </c>
      <c r="D123" s="31">
        <v>3</v>
      </c>
      <c r="E123" s="32" t="s">
        <v>16</v>
      </c>
      <c r="F123" s="31">
        <v>1500000</v>
      </c>
      <c r="G123" s="31">
        <f t="shared" si="4"/>
        <v>4500000</v>
      </c>
      <c r="H123" s="31">
        <v>0</v>
      </c>
      <c r="I123" s="31">
        <f>SUMIF(dd_kuitansi[MAK],$A123,dd_kuitansi[Jumlah])</f>
        <v>0</v>
      </c>
      <c r="J123" s="31">
        <f t="shared" si="5"/>
        <v>4500000</v>
      </c>
    </row>
    <row r="124" spans="1:13" x14ac:dyDescent="0.25">
      <c r="A124" s="40" t="s">
        <v>470</v>
      </c>
      <c r="B124" s="17" t="s">
        <v>46</v>
      </c>
      <c r="C124" s="18" t="s">
        <v>47</v>
      </c>
      <c r="D124" s="19">
        <v>0</v>
      </c>
      <c r="E124" s="20" t="s">
        <v>1</v>
      </c>
      <c r="F124" s="19">
        <v>0</v>
      </c>
      <c r="G124" s="19">
        <f>G125</f>
        <v>50000000</v>
      </c>
      <c r="H124" s="19">
        <f>H125</f>
        <v>0</v>
      </c>
      <c r="I124" s="19">
        <f>I125</f>
        <v>0</v>
      </c>
      <c r="J124" s="19">
        <f>J125</f>
        <v>50000000</v>
      </c>
    </row>
    <row r="125" spans="1:13" x14ac:dyDescent="0.25">
      <c r="A125" s="40" t="s">
        <v>736</v>
      </c>
      <c r="B125" s="29" t="s">
        <v>1</v>
      </c>
      <c r="C125" s="30" t="s">
        <v>82</v>
      </c>
      <c r="D125" s="31">
        <v>50</v>
      </c>
      <c r="E125" s="32" t="s">
        <v>49</v>
      </c>
      <c r="F125" s="31">
        <v>1000000</v>
      </c>
      <c r="G125" s="31">
        <f>ROUNDDOWN($D125*$F125,-3)</f>
        <v>50000000</v>
      </c>
      <c r="H125" s="31">
        <v>0</v>
      </c>
      <c r="I125" s="31">
        <f>SUMIF(dd_kuitansi[MAK],$A125,dd_kuitansi[Jumlah])</f>
        <v>0</v>
      </c>
      <c r="J125" s="31">
        <f>$G125-SUM($H125:$I125)</f>
        <v>50000000</v>
      </c>
    </row>
    <row r="126" spans="1:13" x14ac:dyDescent="0.25">
      <c r="A126" s="40" t="s">
        <v>471</v>
      </c>
      <c r="B126" s="17" t="s">
        <v>50</v>
      </c>
      <c r="C126" s="18" t="s">
        <v>51</v>
      </c>
      <c r="D126" s="19">
        <v>0</v>
      </c>
      <c r="E126" s="20" t="s">
        <v>1</v>
      </c>
      <c r="F126" s="19">
        <v>0</v>
      </c>
      <c r="G126" s="19">
        <f>G127</f>
        <v>75047000</v>
      </c>
      <c r="H126" s="19">
        <f>H127</f>
        <v>0</v>
      </c>
      <c r="I126" s="19">
        <f>I127</f>
        <v>0</v>
      </c>
      <c r="J126" s="19">
        <f>J127</f>
        <v>75047000</v>
      </c>
    </row>
    <row r="127" spans="1:13" x14ac:dyDescent="0.25">
      <c r="A127" s="40" t="s">
        <v>737</v>
      </c>
      <c r="B127" s="29" t="s">
        <v>1</v>
      </c>
      <c r="C127" s="30" t="s">
        <v>89</v>
      </c>
      <c r="D127" s="31">
        <v>20</v>
      </c>
      <c r="E127" s="32" t="s">
        <v>36</v>
      </c>
      <c r="F127" s="31">
        <v>3752350</v>
      </c>
      <c r="G127" s="31">
        <f>ROUNDDOWN($D127*$F127,-3)</f>
        <v>75047000</v>
      </c>
      <c r="H127" s="31">
        <v>0</v>
      </c>
      <c r="I127" s="31">
        <f>SUMIF(dd_kuitansi[MAK],$A127,dd_kuitansi[Jumlah])</f>
        <v>0</v>
      </c>
      <c r="J127" s="31">
        <f>$G127-SUM($H127:$I127)</f>
        <v>75047000</v>
      </c>
    </row>
    <row r="128" spans="1:13" x14ac:dyDescent="0.25">
      <c r="A128" s="40" t="s">
        <v>472</v>
      </c>
      <c r="B128" s="17" t="s">
        <v>54</v>
      </c>
      <c r="C128" s="18" t="s">
        <v>55</v>
      </c>
      <c r="D128" s="19">
        <v>0</v>
      </c>
      <c r="E128" s="20" t="s">
        <v>1</v>
      </c>
      <c r="F128" s="19">
        <v>0</v>
      </c>
      <c r="G128" s="19">
        <f>SUM(G129:G132)</f>
        <v>70000000</v>
      </c>
      <c r="H128" s="19">
        <f>SUM(H129:H132)</f>
        <v>0</v>
      </c>
      <c r="I128" s="19">
        <f>SUM(I129:I132)</f>
        <v>0</v>
      </c>
      <c r="J128" s="19">
        <f>SUM(J129:J132)</f>
        <v>70000000</v>
      </c>
    </row>
    <row r="129" spans="1:13" x14ac:dyDescent="0.25">
      <c r="A129" s="40"/>
      <c r="B129" s="29" t="s">
        <v>1</v>
      </c>
      <c r="C129" s="33" t="s">
        <v>90</v>
      </c>
      <c r="D129" s="31">
        <v>0</v>
      </c>
      <c r="E129" s="32" t="s">
        <v>1</v>
      </c>
      <c r="F129" s="31">
        <v>0</v>
      </c>
      <c r="G129" s="31">
        <v>0</v>
      </c>
      <c r="H129" s="31">
        <v>0</v>
      </c>
      <c r="I129" s="31">
        <v>0</v>
      </c>
      <c r="J129" s="31">
        <v>0</v>
      </c>
    </row>
    <row r="130" spans="1:13" s="9" customFormat="1" x14ac:dyDescent="0.25">
      <c r="A130" s="39" t="s">
        <v>738</v>
      </c>
      <c r="B130" s="29" t="s">
        <v>1</v>
      </c>
      <c r="C130" s="30" t="s">
        <v>56</v>
      </c>
      <c r="D130" s="31">
        <v>20</v>
      </c>
      <c r="E130" s="32" t="s">
        <v>36</v>
      </c>
      <c r="F130" s="31">
        <v>300000</v>
      </c>
      <c r="G130" s="31">
        <f>ROUNDDOWN($D130*$F130,-3)</f>
        <v>6000000</v>
      </c>
      <c r="H130" s="31">
        <v>0</v>
      </c>
      <c r="I130" s="31">
        <f>SUMIF(dd_kuitansi[MAK],$A130,dd_kuitansi[Jumlah])</f>
        <v>0</v>
      </c>
      <c r="J130" s="31">
        <f>$G130-SUM($H130:$I130)</f>
        <v>6000000</v>
      </c>
      <c r="M130" s="184"/>
    </row>
    <row r="131" spans="1:13" x14ac:dyDescent="0.25">
      <c r="A131" s="40" t="s">
        <v>739</v>
      </c>
      <c r="B131" s="29" t="s">
        <v>1</v>
      </c>
      <c r="C131" s="30" t="s">
        <v>57</v>
      </c>
      <c r="D131" s="31">
        <v>240</v>
      </c>
      <c r="E131" s="32" t="s">
        <v>36</v>
      </c>
      <c r="F131" s="31">
        <v>250000</v>
      </c>
      <c r="G131" s="31">
        <f>ROUNDDOWN($D131*$F131,-3)</f>
        <v>60000000</v>
      </c>
      <c r="H131" s="31">
        <v>0</v>
      </c>
      <c r="I131" s="31">
        <f>SUMIF(dd_kuitansi[MAK],$A131,dd_kuitansi[Jumlah])</f>
        <v>0</v>
      </c>
      <c r="J131" s="31">
        <f>$G131-SUM($H131:$I131)</f>
        <v>60000000</v>
      </c>
    </row>
    <row r="132" spans="1:13" s="9" customFormat="1" x14ac:dyDescent="0.25">
      <c r="A132" s="39" t="s">
        <v>740</v>
      </c>
      <c r="B132" s="29" t="s">
        <v>1</v>
      </c>
      <c r="C132" s="30" t="s">
        <v>58</v>
      </c>
      <c r="D132" s="31">
        <v>20</v>
      </c>
      <c r="E132" s="32" t="s">
        <v>36</v>
      </c>
      <c r="F132" s="31">
        <v>200000</v>
      </c>
      <c r="G132" s="31">
        <f>ROUNDDOWN($D132*$F132,-3)</f>
        <v>4000000</v>
      </c>
      <c r="H132" s="31">
        <v>0</v>
      </c>
      <c r="I132" s="31">
        <f>SUMIF(dd_kuitansi[MAK],$A132,dd_kuitansi[Jumlah])</f>
        <v>0</v>
      </c>
      <c r="J132" s="31">
        <f>$G132-SUM($H132:$I132)</f>
        <v>4000000</v>
      </c>
      <c r="M132" s="184"/>
    </row>
    <row r="133" spans="1:13" x14ac:dyDescent="0.25">
      <c r="A133" s="40" t="s">
        <v>398</v>
      </c>
      <c r="B133" s="25" t="s">
        <v>65</v>
      </c>
      <c r="C133" s="26" t="s">
        <v>91</v>
      </c>
      <c r="D133" s="27">
        <v>0</v>
      </c>
      <c r="E133" s="28" t="s">
        <v>1</v>
      </c>
      <c r="F133" s="27">
        <v>0</v>
      </c>
      <c r="G133" s="27">
        <f>SUM(G134,G139,G142,G144,G146)</f>
        <v>303200000</v>
      </c>
      <c r="H133" s="27">
        <f>SUM(H134,H139,H142,H144,H146)</f>
        <v>0</v>
      </c>
      <c r="I133" s="27">
        <f>SUM(I134,I139,I142,I144,I146)</f>
        <v>0</v>
      </c>
      <c r="J133" s="27">
        <f>SUM(J134,J139,J142,J144,J146)</f>
        <v>303200000</v>
      </c>
    </row>
    <row r="134" spans="1:13" s="9" customFormat="1" x14ac:dyDescent="0.25">
      <c r="A134" s="39" t="s">
        <v>473</v>
      </c>
      <c r="B134" s="17" t="s">
        <v>33</v>
      </c>
      <c r="C134" s="18" t="s">
        <v>34</v>
      </c>
      <c r="D134" s="19">
        <v>0</v>
      </c>
      <c r="E134" s="20" t="s">
        <v>1</v>
      </c>
      <c r="F134" s="19">
        <v>0</v>
      </c>
      <c r="G134" s="19">
        <f>SUM(G135:G138)</f>
        <v>33186000</v>
      </c>
      <c r="H134" s="19">
        <f>SUM(H135:H138)</f>
        <v>0</v>
      </c>
      <c r="I134" s="19">
        <f>SUM(I135:I138)</f>
        <v>0</v>
      </c>
      <c r="J134" s="19">
        <f>SUM(J135:J138)</f>
        <v>33186000</v>
      </c>
      <c r="M134" s="184"/>
    </row>
    <row r="135" spans="1:13" x14ac:dyDescent="0.25">
      <c r="A135" s="40" t="s">
        <v>741</v>
      </c>
      <c r="B135" s="29" t="s">
        <v>1</v>
      </c>
      <c r="C135" s="30" t="s">
        <v>92</v>
      </c>
      <c r="D135" s="31">
        <v>394</v>
      </c>
      <c r="E135" s="32" t="s">
        <v>36</v>
      </c>
      <c r="F135" s="31">
        <v>69000</v>
      </c>
      <c r="G135" s="31">
        <f>ROUNDDOWN($D135*$F135,-3)</f>
        <v>27186000</v>
      </c>
      <c r="H135" s="31">
        <v>0</v>
      </c>
      <c r="I135" s="31">
        <f>SUMIF(dd_kuitansi[MAK],$A135,dd_kuitansi[Jumlah])</f>
        <v>0</v>
      </c>
      <c r="J135" s="31">
        <f>$G135-SUM($H135:$I135)</f>
        <v>27186000</v>
      </c>
    </row>
    <row r="136" spans="1:13" x14ac:dyDescent="0.25">
      <c r="A136" s="40" t="s">
        <v>742</v>
      </c>
      <c r="B136" s="29" t="s">
        <v>1</v>
      </c>
      <c r="C136" s="30" t="s">
        <v>37</v>
      </c>
      <c r="D136" s="31">
        <v>1</v>
      </c>
      <c r="E136" s="32" t="s">
        <v>16</v>
      </c>
      <c r="F136" s="31">
        <v>1000000</v>
      </c>
      <c r="G136" s="31">
        <f>ROUNDDOWN($D136*$F136,-3)</f>
        <v>1000000</v>
      </c>
      <c r="H136" s="31">
        <v>0</v>
      </c>
      <c r="I136" s="31">
        <f>SUMIF(dd_kuitansi[MAK],$A136,dd_kuitansi[Jumlah])</f>
        <v>0</v>
      </c>
      <c r="J136" s="31">
        <f>$G136-SUM($H136:$I136)</f>
        <v>1000000</v>
      </c>
    </row>
    <row r="137" spans="1:13" x14ac:dyDescent="0.25">
      <c r="A137" s="40" t="s">
        <v>743</v>
      </c>
      <c r="B137" s="29" t="s">
        <v>1</v>
      </c>
      <c r="C137" s="30" t="s">
        <v>45</v>
      </c>
      <c r="D137" s="31">
        <v>2</v>
      </c>
      <c r="E137" s="32" t="s">
        <v>16</v>
      </c>
      <c r="F137" s="31">
        <v>1000000</v>
      </c>
      <c r="G137" s="31">
        <f>ROUNDDOWN($D137*$F137,-3)</f>
        <v>2000000</v>
      </c>
      <c r="H137" s="31">
        <v>0</v>
      </c>
      <c r="I137" s="31">
        <f>SUMIF(dd_kuitansi[MAK],$A137,dd_kuitansi[Jumlah])</f>
        <v>0</v>
      </c>
      <c r="J137" s="31">
        <f>$G137-SUM($H137:$I137)</f>
        <v>2000000</v>
      </c>
    </row>
    <row r="138" spans="1:13" x14ac:dyDescent="0.25">
      <c r="A138" s="40" t="s">
        <v>744</v>
      </c>
      <c r="B138" s="29" t="s">
        <v>1</v>
      </c>
      <c r="C138" s="30" t="s">
        <v>43</v>
      </c>
      <c r="D138" s="31">
        <v>2</v>
      </c>
      <c r="E138" s="32" t="s">
        <v>16</v>
      </c>
      <c r="F138" s="31">
        <v>1500000</v>
      </c>
      <c r="G138" s="31">
        <f>ROUNDDOWN($D138*$F138,-3)</f>
        <v>3000000</v>
      </c>
      <c r="H138" s="31">
        <v>0</v>
      </c>
      <c r="I138" s="31">
        <f>SUMIF(dd_kuitansi[MAK],$A138,dd_kuitansi[Jumlah])</f>
        <v>0</v>
      </c>
      <c r="J138" s="31">
        <f>$G138-SUM($H138:$I138)</f>
        <v>3000000</v>
      </c>
    </row>
    <row r="139" spans="1:13" s="9" customFormat="1" x14ac:dyDescent="0.25">
      <c r="A139" s="39" t="s">
        <v>474</v>
      </c>
      <c r="B139" s="17" t="s">
        <v>38</v>
      </c>
      <c r="C139" s="18" t="s">
        <v>39</v>
      </c>
      <c r="D139" s="19">
        <v>0</v>
      </c>
      <c r="E139" s="20" t="s">
        <v>1</v>
      </c>
      <c r="F139" s="19">
        <v>0</v>
      </c>
      <c r="G139" s="19">
        <f>SUM(G140:G141)</f>
        <v>100000000</v>
      </c>
      <c r="H139" s="19">
        <f>SUM(H140:H141)</f>
        <v>0</v>
      </c>
      <c r="I139" s="19">
        <f>SUM(I140:I141)</f>
        <v>0</v>
      </c>
      <c r="J139" s="19">
        <f>SUM(J140:J141)</f>
        <v>100000000</v>
      </c>
      <c r="M139" s="184"/>
    </row>
    <row r="140" spans="1:13" s="9" customFormat="1" ht="25.5" x14ac:dyDescent="0.25">
      <c r="A140" s="39" t="s">
        <v>745</v>
      </c>
      <c r="B140" s="29" t="s">
        <v>1</v>
      </c>
      <c r="C140" s="30" t="s">
        <v>93</v>
      </c>
      <c r="D140" s="31">
        <v>9</v>
      </c>
      <c r="E140" s="32" t="s">
        <v>16</v>
      </c>
      <c r="F140" s="31">
        <v>5000000</v>
      </c>
      <c r="G140" s="31">
        <f>ROUNDDOWN($D140*$F140,-3)</f>
        <v>45000000</v>
      </c>
      <c r="H140" s="31">
        <v>0</v>
      </c>
      <c r="I140" s="31">
        <f>SUMIF(dd_kuitansi[MAK],$A140,dd_kuitansi[Jumlah])</f>
        <v>0</v>
      </c>
      <c r="J140" s="31">
        <f>$G140-SUM($H140:$I140)</f>
        <v>45000000</v>
      </c>
      <c r="M140" s="184"/>
    </row>
    <row r="141" spans="1:13" ht="25.5" x14ac:dyDescent="0.25">
      <c r="A141" s="40" t="s">
        <v>746</v>
      </c>
      <c r="B141" s="29" t="s">
        <v>1</v>
      </c>
      <c r="C141" s="30" t="s">
        <v>94</v>
      </c>
      <c r="D141" s="31">
        <v>11</v>
      </c>
      <c r="E141" s="32" t="s">
        <v>16</v>
      </c>
      <c r="F141" s="31">
        <v>5000000</v>
      </c>
      <c r="G141" s="31">
        <f>ROUNDDOWN($D141*$F141,-3)</f>
        <v>55000000</v>
      </c>
      <c r="H141" s="31">
        <v>0</v>
      </c>
      <c r="I141" s="31">
        <f>SUMIF(dd_kuitansi[MAK],$A141,dd_kuitansi[Jumlah])</f>
        <v>0</v>
      </c>
      <c r="J141" s="31">
        <f>$G141-SUM($H141:$I141)</f>
        <v>55000000</v>
      </c>
    </row>
    <row r="142" spans="1:13" x14ac:dyDescent="0.25">
      <c r="A142" s="40" t="s">
        <v>475</v>
      </c>
      <c r="B142" s="17" t="s">
        <v>46</v>
      </c>
      <c r="C142" s="18" t="s">
        <v>47</v>
      </c>
      <c r="D142" s="19">
        <v>0</v>
      </c>
      <c r="E142" s="20" t="s">
        <v>1</v>
      </c>
      <c r="F142" s="19">
        <v>0</v>
      </c>
      <c r="G142" s="19">
        <f>G143</f>
        <v>25000000</v>
      </c>
      <c r="H142" s="19">
        <f>H143</f>
        <v>0</v>
      </c>
      <c r="I142" s="19">
        <f>I143</f>
        <v>0</v>
      </c>
      <c r="J142" s="19">
        <f>J143</f>
        <v>25000000</v>
      </c>
    </row>
    <row r="143" spans="1:13" x14ac:dyDescent="0.25">
      <c r="A143" s="40" t="s">
        <v>747</v>
      </c>
      <c r="B143" s="29" t="s">
        <v>1</v>
      </c>
      <c r="C143" s="30" t="s">
        <v>82</v>
      </c>
      <c r="D143" s="31">
        <v>25</v>
      </c>
      <c r="E143" s="32" t="s">
        <v>49</v>
      </c>
      <c r="F143" s="31">
        <v>1000000</v>
      </c>
      <c r="G143" s="31">
        <f>ROUNDDOWN($D143*$F143,-3)</f>
        <v>25000000</v>
      </c>
      <c r="H143" s="31">
        <v>0</v>
      </c>
      <c r="I143" s="31">
        <f>SUMIF(dd_kuitansi[MAK],$A143,dd_kuitansi[Jumlah])</f>
        <v>0</v>
      </c>
      <c r="J143" s="31">
        <f>$G143-SUM($H143:$I143)</f>
        <v>25000000</v>
      </c>
    </row>
    <row r="144" spans="1:13" x14ac:dyDescent="0.25">
      <c r="A144" s="40" t="s">
        <v>476</v>
      </c>
      <c r="B144" s="17" t="s">
        <v>50</v>
      </c>
      <c r="C144" s="18" t="s">
        <v>51</v>
      </c>
      <c r="D144" s="19">
        <v>0</v>
      </c>
      <c r="E144" s="20" t="s">
        <v>1</v>
      </c>
      <c r="F144" s="19">
        <v>0</v>
      </c>
      <c r="G144" s="19">
        <f>G145</f>
        <v>75014000</v>
      </c>
      <c r="H144" s="19">
        <f>H145</f>
        <v>0</v>
      </c>
      <c r="I144" s="19">
        <f>I145</f>
        <v>0</v>
      </c>
      <c r="J144" s="19">
        <f>J145</f>
        <v>75014000</v>
      </c>
    </row>
    <row r="145" spans="1:13" s="9" customFormat="1" x14ac:dyDescent="0.25">
      <c r="A145" s="39" t="s">
        <v>748</v>
      </c>
      <c r="B145" s="29" t="s">
        <v>1</v>
      </c>
      <c r="C145" s="30" t="s">
        <v>95</v>
      </c>
      <c r="D145" s="31">
        <v>20</v>
      </c>
      <c r="E145" s="32" t="s">
        <v>36</v>
      </c>
      <c r="F145" s="31">
        <v>3750700</v>
      </c>
      <c r="G145" s="31">
        <f>ROUNDDOWN($D145*$F145,-3)</f>
        <v>75014000</v>
      </c>
      <c r="H145" s="31">
        <v>0</v>
      </c>
      <c r="I145" s="31">
        <f>SUMIF(dd_kuitansi[MAK],$A145,dd_kuitansi[Jumlah])</f>
        <v>0</v>
      </c>
      <c r="J145" s="31">
        <f>$G145-SUM($H145:$I145)</f>
        <v>75014000</v>
      </c>
      <c r="M145" s="184"/>
    </row>
    <row r="146" spans="1:13" x14ac:dyDescent="0.25">
      <c r="A146" s="40" t="s">
        <v>477</v>
      </c>
      <c r="B146" s="17" t="s">
        <v>54</v>
      </c>
      <c r="C146" s="18" t="s">
        <v>55</v>
      </c>
      <c r="D146" s="19">
        <v>0</v>
      </c>
      <c r="E146" s="20" t="s">
        <v>1</v>
      </c>
      <c r="F146" s="19">
        <v>0</v>
      </c>
      <c r="G146" s="31">
        <f>SUM(G147:G149)</f>
        <v>70000000</v>
      </c>
      <c r="H146" s="31">
        <f>SUM(H147:H149)</f>
        <v>0</v>
      </c>
      <c r="I146" s="31">
        <f>SUM(I147:I149)</f>
        <v>0</v>
      </c>
      <c r="J146" s="31">
        <f>SUM(J147:J149)</f>
        <v>70000000</v>
      </c>
    </row>
    <row r="147" spans="1:13" x14ac:dyDescent="0.25">
      <c r="A147" s="40" t="s">
        <v>749</v>
      </c>
      <c r="B147" s="29" t="s">
        <v>1</v>
      </c>
      <c r="C147" s="30" t="s">
        <v>56</v>
      </c>
      <c r="D147" s="31">
        <v>20</v>
      </c>
      <c r="E147" s="32" t="s">
        <v>36</v>
      </c>
      <c r="F147" s="31">
        <v>300000</v>
      </c>
      <c r="G147" s="31">
        <f>ROUNDDOWN($D147*$F147,-3)</f>
        <v>6000000</v>
      </c>
      <c r="H147" s="31">
        <v>0</v>
      </c>
      <c r="I147" s="31">
        <f>SUMIF(dd_kuitansi[MAK],$A147,dd_kuitansi[Jumlah])</f>
        <v>0</v>
      </c>
      <c r="J147" s="31">
        <f>$G147-SUM($H147:$I147)</f>
        <v>6000000</v>
      </c>
    </row>
    <row r="148" spans="1:13" s="9" customFormat="1" x14ac:dyDescent="0.25">
      <c r="A148" s="39" t="s">
        <v>750</v>
      </c>
      <c r="B148" s="29" t="s">
        <v>1</v>
      </c>
      <c r="C148" s="30" t="s">
        <v>57</v>
      </c>
      <c r="D148" s="31">
        <v>240</v>
      </c>
      <c r="E148" s="32" t="s">
        <v>36</v>
      </c>
      <c r="F148" s="31">
        <v>250000</v>
      </c>
      <c r="G148" s="31">
        <f>ROUNDDOWN($D148*$F148,-3)</f>
        <v>60000000</v>
      </c>
      <c r="H148" s="31">
        <v>0</v>
      </c>
      <c r="I148" s="31">
        <f>SUMIF(dd_kuitansi[MAK],$A148,dd_kuitansi[Jumlah])</f>
        <v>0</v>
      </c>
      <c r="J148" s="31">
        <f>$G148-SUM($H148:$I148)</f>
        <v>60000000</v>
      </c>
      <c r="M148" s="184"/>
    </row>
    <row r="149" spans="1:13" x14ac:dyDescent="0.25">
      <c r="A149" s="40" t="s">
        <v>751</v>
      </c>
      <c r="B149" s="29" t="s">
        <v>1</v>
      </c>
      <c r="C149" s="30" t="s">
        <v>58</v>
      </c>
      <c r="D149" s="31">
        <v>20</v>
      </c>
      <c r="E149" s="32" t="s">
        <v>36</v>
      </c>
      <c r="F149" s="31">
        <v>200000</v>
      </c>
      <c r="G149" s="31">
        <f>ROUNDDOWN($D149*$F149,-3)</f>
        <v>4000000</v>
      </c>
      <c r="H149" s="31">
        <v>0</v>
      </c>
      <c r="I149" s="31">
        <f>SUMIF(dd_kuitansi[MAK],$A149,dd_kuitansi[Jumlah])</f>
        <v>0</v>
      </c>
      <c r="J149" s="31">
        <f>$G149-SUM($H149:$I149)</f>
        <v>4000000</v>
      </c>
    </row>
    <row r="150" spans="1:13" s="9" customFormat="1" x14ac:dyDescent="0.25">
      <c r="A150" s="39" t="s">
        <v>399</v>
      </c>
      <c r="B150" s="25" t="s">
        <v>68</v>
      </c>
      <c r="C150" s="26" t="s">
        <v>96</v>
      </c>
      <c r="D150" s="27">
        <v>0</v>
      </c>
      <c r="E150" s="28" t="s">
        <v>1</v>
      </c>
      <c r="F150" s="27">
        <v>0</v>
      </c>
      <c r="G150" s="27">
        <f>SUM(G151,G156,G158,G160)</f>
        <v>136070000</v>
      </c>
      <c r="H150" s="27">
        <f>SUM(H151,H156,H158,H160)</f>
        <v>0</v>
      </c>
      <c r="I150" s="27">
        <f>SUM(I151,I156,I158,I160)</f>
        <v>0</v>
      </c>
      <c r="J150" s="27">
        <f>SUM(J151,J156,J158,J160)</f>
        <v>136070000</v>
      </c>
      <c r="M150" s="184"/>
    </row>
    <row r="151" spans="1:13" x14ac:dyDescent="0.25">
      <c r="A151" s="40" t="s">
        <v>478</v>
      </c>
      <c r="B151" s="17" t="s">
        <v>33</v>
      </c>
      <c r="C151" s="18" t="s">
        <v>34</v>
      </c>
      <c r="D151" s="19">
        <v>0</v>
      </c>
      <c r="E151" s="20" t="s">
        <v>1</v>
      </c>
      <c r="F151" s="19">
        <v>0</v>
      </c>
      <c r="G151" s="19">
        <f>SUM(G152:G155)</f>
        <v>22301000</v>
      </c>
      <c r="H151" s="19">
        <f>SUM(H152:H155)</f>
        <v>0</v>
      </c>
      <c r="I151" s="19">
        <f>SUM(I152:I155)</f>
        <v>0</v>
      </c>
      <c r="J151" s="19">
        <f>SUM(J152:J155)</f>
        <v>22301000</v>
      </c>
    </row>
    <row r="152" spans="1:13" s="9" customFormat="1" x14ac:dyDescent="0.25">
      <c r="A152" s="39" t="s">
        <v>752</v>
      </c>
      <c r="B152" s="29" t="s">
        <v>1</v>
      </c>
      <c r="C152" s="30" t="s">
        <v>92</v>
      </c>
      <c r="D152" s="31">
        <v>229</v>
      </c>
      <c r="E152" s="32" t="s">
        <v>36</v>
      </c>
      <c r="F152" s="31">
        <v>69000</v>
      </c>
      <c r="G152" s="31">
        <f>ROUNDDOWN($D152*$F152,-3)</f>
        <v>15801000</v>
      </c>
      <c r="H152" s="31">
        <v>0</v>
      </c>
      <c r="I152" s="31">
        <f>SUMIF(dd_kuitansi[MAK],$A152,dd_kuitansi[Jumlah])</f>
        <v>0</v>
      </c>
      <c r="J152" s="31">
        <f>$G152-SUM($H152:$I152)</f>
        <v>15801000</v>
      </c>
      <c r="M152" s="184"/>
    </row>
    <row r="153" spans="1:13" x14ac:dyDescent="0.25">
      <c r="A153" s="40" t="s">
        <v>753</v>
      </c>
      <c r="B153" s="29" t="s">
        <v>1</v>
      </c>
      <c r="C153" s="30" t="s">
        <v>37</v>
      </c>
      <c r="D153" s="31">
        <v>1</v>
      </c>
      <c r="E153" s="32" t="s">
        <v>16</v>
      </c>
      <c r="F153" s="31">
        <v>1500000</v>
      </c>
      <c r="G153" s="31">
        <f>ROUNDDOWN($D153*$F153,-3)</f>
        <v>1500000</v>
      </c>
      <c r="H153" s="31">
        <v>0</v>
      </c>
      <c r="I153" s="31">
        <f>SUMIF(dd_kuitansi[MAK],$A153,dd_kuitansi[Jumlah])</f>
        <v>0</v>
      </c>
      <c r="J153" s="31">
        <f>$G153-SUM($H153:$I153)</f>
        <v>1500000</v>
      </c>
    </row>
    <row r="154" spans="1:13" x14ac:dyDescent="0.25">
      <c r="A154" s="40" t="s">
        <v>754</v>
      </c>
      <c r="B154" s="29" t="s">
        <v>1</v>
      </c>
      <c r="C154" s="30" t="s">
        <v>45</v>
      </c>
      <c r="D154" s="31">
        <v>2</v>
      </c>
      <c r="E154" s="32" t="s">
        <v>16</v>
      </c>
      <c r="F154" s="31">
        <v>1000000</v>
      </c>
      <c r="G154" s="31">
        <f>ROUNDDOWN($D154*$F154,-3)</f>
        <v>2000000</v>
      </c>
      <c r="H154" s="31">
        <v>0</v>
      </c>
      <c r="I154" s="31">
        <f>SUMIF(dd_kuitansi[MAK],$A154,dd_kuitansi[Jumlah])</f>
        <v>0</v>
      </c>
      <c r="J154" s="31">
        <f>$G154-SUM($H154:$I154)</f>
        <v>2000000</v>
      </c>
    </row>
    <row r="155" spans="1:13" x14ac:dyDescent="0.25">
      <c r="A155" s="40" t="s">
        <v>755</v>
      </c>
      <c r="B155" s="29" t="s">
        <v>1</v>
      </c>
      <c r="C155" s="30" t="s">
        <v>43</v>
      </c>
      <c r="D155" s="31">
        <v>2</v>
      </c>
      <c r="E155" s="32" t="s">
        <v>16</v>
      </c>
      <c r="F155" s="31">
        <v>1500000</v>
      </c>
      <c r="G155" s="31">
        <f>ROUNDDOWN($D155*$F155,-3)</f>
        <v>3000000</v>
      </c>
      <c r="H155" s="31">
        <v>0</v>
      </c>
      <c r="I155" s="31">
        <f>SUMIF(dd_kuitansi[MAK],$A155,dd_kuitansi[Jumlah])</f>
        <v>0</v>
      </c>
      <c r="J155" s="31">
        <f>$G155-SUM($H155:$I155)</f>
        <v>3000000</v>
      </c>
    </row>
    <row r="156" spans="1:13" s="9" customFormat="1" x14ac:dyDescent="0.25">
      <c r="A156" s="39" t="s">
        <v>479</v>
      </c>
      <c r="B156" s="17" t="s">
        <v>46</v>
      </c>
      <c r="C156" s="18" t="s">
        <v>47</v>
      </c>
      <c r="D156" s="19">
        <v>0</v>
      </c>
      <c r="E156" s="20" t="s">
        <v>1</v>
      </c>
      <c r="F156" s="19">
        <v>0</v>
      </c>
      <c r="G156" s="19">
        <f>G157</f>
        <v>25000000</v>
      </c>
      <c r="H156" s="19">
        <f>H157</f>
        <v>0</v>
      </c>
      <c r="I156" s="19">
        <f>I157</f>
        <v>0</v>
      </c>
      <c r="J156" s="19">
        <f>J157</f>
        <v>25000000</v>
      </c>
      <c r="M156" s="184"/>
    </row>
    <row r="157" spans="1:13" s="9" customFormat="1" x14ac:dyDescent="0.25">
      <c r="A157" s="39" t="s">
        <v>756</v>
      </c>
      <c r="B157" s="29" t="s">
        <v>1</v>
      </c>
      <c r="C157" s="30" t="s">
        <v>82</v>
      </c>
      <c r="D157" s="31">
        <v>25</v>
      </c>
      <c r="E157" s="32" t="s">
        <v>49</v>
      </c>
      <c r="F157" s="31">
        <v>1000000</v>
      </c>
      <c r="G157" s="31">
        <f>ROUNDDOWN($D157*$F157,-3)</f>
        <v>25000000</v>
      </c>
      <c r="H157" s="31">
        <v>0</v>
      </c>
      <c r="I157" s="31">
        <f>SUMIF(dd_kuitansi[MAK],$A157,dd_kuitansi[Jumlah])</f>
        <v>0</v>
      </c>
      <c r="J157" s="31">
        <f>$G157-SUM($H157:$I157)</f>
        <v>25000000</v>
      </c>
      <c r="M157" s="184"/>
    </row>
    <row r="158" spans="1:13" x14ac:dyDescent="0.25">
      <c r="A158" s="40" t="s">
        <v>480</v>
      </c>
      <c r="B158" s="17" t="s">
        <v>50</v>
      </c>
      <c r="C158" s="18" t="s">
        <v>51</v>
      </c>
      <c r="D158" s="19">
        <v>0</v>
      </c>
      <c r="E158" s="20" t="s">
        <v>1</v>
      </c>
      <c r="F158" s="19">
        <v>0</v>
      </c>
      <c r="G158" s="19">
        <f>G159</f>
        <v>33769000</v>
      </c>
      <c r="H158" s="19">
        <f>H159</f>
        <v>0</v>
      </c>
      <c r="I158" s="19">
        <f>I159</f>
        <v>0</v>
      </c>
      <c r="J158" s="19">
        <f>J159</f>
        <v>33769000</v>
      </c>
    </row>
    <row r="159" spans="1:13" x14ac:dyDescent="0.25">
      <c r="A159" s="40" t="s">
        <v>757</v>
      </c>
      <c r="B159" s="29" t="s">
        <v>1</v>
      </c>
      <c r="C159" s="30" t="s">
        <v>97</v>
      </c>
      <c r="D159" s="31">
        <v>9</v>
      </c>
      <c r="E159" s="32" t="s">
        <v>36</v>
      </c>
      <c r="F159" s="31">
        <v>3752115</v>
      </c>
      <c r="G159" s="31">
        <f>ROUNDDOWN($D159*$F159,-3)</f>
        <v>33769000</v>
      </c>
      <c r="H159" s="31">
        <v>0</v>
      </c>
      <c r="I159" s="31">
        <f>SUMIF(dd_kuitansi[MAK],$A159,dd_kuitansi[Jumlah])</f>
        <v>0</v>
      </c>
      <c r="J159" s="31">
        <f>$G159-SUM($H159:$I159)</f>
        <v>33769000</v>
      </c>
    </row>
    <row r="160" spans="1:13" x14ac:dyDescent="0.25">
      <c r="A160" s="40" t="s">
        <v>481</v>
      </c>
      <c r="B160" s="17" t="s">
        <v>54</v>
      </c>
      <c r="C160" s="18" t="s">
        <v>55</v>
      </c>
      <c r="D160" s="19">
        <v>0</v>
      </c>
      <c r="E160" s="20" t="s">
        <v>1</v>
      </c>
      <c r="F160" s="19">
        <v>0</v>
      </c>
      <c r="G160" s="31">
        <f>SUM(G161:G163)</f>
        <v>55000000</v>
      </c>
      <c r="H160" s="31">
        <f>SUM(H161:H163)</f>
        <v>0</v>
      </c>
      <c r="I160" s="31">
        <f>SUM(I161:I163)</f>
        <v>0</v>
      </c>
      <c r="J160" s="31">
        <f>SUM(J161:J163)</f>
        <v>55000000</v>
      </c>
    </row>
    <row r="161" spans="1:13" x14ac:dyDescent="0.25">
      <c r="A161" s="40" t="s">
        <v>758</v>
      </c>
      <c r="B161" s="29" t="s">
        <v>1</v>
      </c>
      <c r="C161" s="30" t="s">
        <v>56</v>
      </c>
      <c r="D161" s="31">
        <v>20</v>
      </c>
      <c r="E161" s="32" t="s">
        <v>36</v>
      </c>
      <c r="F161" s="31">
        <v>300000</v>
      </c>
      <c r="G161" s="31">
        <f>ROUNDDOWN($D161*$F161,-3)</f>
        <v>6000000</v>
      </c>
      <c r="H161" s="31">
        <v>0</v>
      </c>
      <c r="I161" s="31">
        <f>SUMIF(dd_kuitansi[MAK],$A161,dd_kuitansi[Jumlah])</f>
        <v>0</v>
      </c>
      <c r="J161" s="31">
        <f>$G161-SUM($H161:$I161)</f>
        <v>6000000</v>
      </c>
    </row>
    <row r="162" spans="1:13" s="9" customFormat="1" x14ac:dyDescent="0.25">
      <c r="A162" s="39" t="s">
        <v>759</v>
      </c>
      <c r="B162" s="29" t="s">
        <v>1</v>
      </c>
      <c r="C162" s="30" t="s">
        <v>57</v>
      </c>
      <c r="D162" s="31">
        <v>180</v>
      </c>
      <c r="E162" s="32" t="s">
        <v>36</v>
      </c>
      <c r="F162" s="31">
        <v>250000</v>
      </c>
      <c r="G162" s="31">
        <f>ROUNDDOWN($D162*$F162,-3)</f>
        <v>45000000</v>
      </c>
      <c r="H162" s="31">
        <v>0</v>
      </c>
      <c r="I162" s="31">
        <f>SUMIF(dd_kuitansi[MAK],$A162,dd_kuitansi[Jumlah])</f>
        <v>0</v>
      </c>
      <c r="J162" s="31">
        <f>$G162-SUM($H162:$I162)</f>
        <v>45000000</v>
      </c>
      <c r="M162" s="184"/>
    </row>
    <row r="163" spans="1:13" x14ac:dyDescent="0.25">
      <c r="A163" s="40" t="s">
        <v>760</v>
      </c>
      <c r="B163" s="29" t="s">
        <v>1</v>
      </c>
      <c r="C163" s="30" t="s">
        <v>58</v>
      </c>
      <c r="D163" s="31">
        <v>20</v>
      </c>
      <c r="E163" s="32" t="s">
        <v>36</v>
      </c>
      <c r="F163" s="31">
        <v>200000</v>
      </c>
      <c r="G163" s="31">
        <f>ROUNDDOWN($D163*$F163,-3)</f>
        <v>4000000</v>
      </c>
      <c r="H163" s="31">
        <v>0</v>
      </c>
      <c r="I163" s="31">
        <f>SUMIF(dd_kuitansi[MAK],$A163,dd_kuitansi[Jumlah])</f>
        <v>0</v>
      </c>
      <c r="J163" s="31">
        <f>$G163-SUM($H163:$I163)</f>
        <v>4000000</v>
      </c>
    </row>
    <row r="164" spans="1:13" s="9" customFormat="1" x14ac:dyDescent="0.25">
      <c r="A164" s="39" t="s">
        <v>400</v>
      </c>
      <c r="B164" s="25" t="s">
        <v>98</v>
      </c>
      <c r="C164" s="26" t="s">
        <v>99</v>
      </c>
      <c r="D164" s="27">
        <v>0</v>
      </c>
      <c r="E164" s="28" t="s">
        <v>1</v>
      </c>
      <c r="F164" s="27">
        <v>0</v>
      </c>
      <c r="G164" s="27">
        <f>SUM(G165,G169,G171,G174,G176,G178,G180)</f>
        <v>574585000</v>
      </c>
      <c r="H164" s="27">
        <f>SUM(H165,H169,H171,H174,H176,H178,H180)</f>
        <v>0</v>
      </c>
      <c r="I164" s="27">
        <f>SUM(I165,I169,I171,I174,I176,I178,I180)</f>
        <v>0</v>
      </c>
      <c r="J164" s="27">
        <f>SUM(J165,J169,J171,J174,J176,J178,J180)</f>
        <v>574585000</v>
      </c>
      <c r="M164" s="184"/>
    </row>
    <row r="165" spans="1:13" x14ac:dyDescent="0.25">
      <c r="A165" s="40" t="s">
        <v>482</v>
      </c>
      <c r="B165" s="17" t="s">
        <v>33</v>
      </c>
      <c r="C165" s="18" t="s">
        <v>34</v>
      </c>
      <c r="D165" s="19">
        <v>0</v>
      </c>
      <c r="E165" s="20" t="s">
        <v>1</v>
      </c>
      <c r="F165" s="19">
        <v>0</v>
      </c>
      <c r="G165" s="31">
        <f>SUM(G166:G168)</f>
        <v>83200000</v>
      </c>
      <c r="H165" s="31">
        <f>SUM(H166:H168)</f>
        <v>0</v>
      </c>
      <c r="I165" s="31">
        <f>SUM(I166:I168)</f>
        <v>0</v>
      </c>
      <c r="J165" s="31">
        <f>SUM(J166:J168)</f>
        <v>83200000</v>
      </c>
    </row>
    <row r="166" spans="1:13" s="9" customFormat="1" x14ac:dyDescent="0.25">
      <c r="A166" s="39" t="s">
        <v>761</v>
      </c>
      <c r="B166" s="29" t="s">
        <v>1</v>
      </c>
      <c r="C166" s="30" t="s">
        <v>35</v>
      </c>
      <c r="D166" s="31">
        <v>800</v>
      </c>
      <c r="E166" s="32" t="s">
        <v>36</v>
      </c>
      <c r="F166" s="31">
        <v>69000</v>
      </c>
      <c r="G166" s="31">
        <f>ROUNDDOWN($D166*$F166,-3)</f>
        <v>55200000</v>
      </c>
      <c r="H166" s="31">
        <v>0</v>
      </c>
      <c r="I166" s="31">
        <f>SUMIF(dd_kuitansi[MAK],$A166,dd_kuitansi[Jumlah])</f>
        <v>0</v>
      </c>
      <c r="J166" s="31">
        <f>$G166-SUM($H166:$I166)</f>
        <v>55200000</v>
      </c>
      <c r="M166" s="184"/>
    </row>
    <row r="167" spans="1:13" x14ac:dyDescent="0.25">
      <c r="A167" s="40" t="s">
        <v>762</v>
      </c>
      <c r="B167" s="29" t="s">
        <v>1</v>
      </c>
      <c r="C167" s="30" t="s">
        <v>37</v>
      </c>
      <c r="D167" s="31">
        <v>12</v>
      </c>
      <c r="E167" s="32" t="s">
        <v>16</v>
      </c>
      <c r="F167" s="31">
        <v>1500000</v>
      </c>
      <c r="G167" s="31">
        <f>ROUNDDOWN($D167*$F167,-3)</f>
        <v>18000000</v>
      </c>
      <c r="H167" s="31">
        <v>0</v>
      </c>
      <c r="I167" s="31">
        <f>SUMIF(dd_kuitansi[MAK],$A167,dd_kuitansi[Jumlah])</f>
        <v>0</v>
      </c>
      <c r="J167" s="31">
        <f>$G167-SUM($H167:$I167)</f>
        <v>18000000</v>
      </c>
    </row>
    <row r="168" spans="1:13" x14ac:dyDescent="0.25">
      <c r="A168" s="40" t="s">
        <v>763</v>
      </c>
      <c r="B168" s="29" t="s">
        <v>1</v>
      </c>
      <c r="C168" s="30" t="s">
        <v>100</v>
      </c>
      <c r="D168" s="31">
        <v>1</v>
      </c>
      <c r="E168" s="32" t="s">
        <v>101</v>
      </c>
      <c r="F168" s="31">
        <v>10000000</v>
      </c>
      <c r="G168" s="31">
        <f>ROUNDDOWN($D168*$F168,-3)</f>
        <v>10000000</v>
      </c>
      <c r="H168" s="31">
        <v>0</v>
      </c>
      <c r="I168" s="31">
        <f>SUMIF(dd_kuitansi[MAK],$A168,dd_kuitansi[Jumlah])</f>
        <v>0</v>
      </c>
      <c r="J168" s="31">
        <f>$G168-SUM($H168:$I168)</f>
        <v>10000000</v>
      </c>
    </row>
    <row r="169" spans="1:13" x14ac:dyDescent="0.25">
      <c r="A169" s="40" t="s">
        <v>483</v>
      </c>
      <c r="B169" s="17" t="s">
        <v>38</v>
      </c>
      <c r="C169" s="18" t="s">
        <v>39</v>
      </c>
      <c r="D169" s="19">
        <v>0</v>
      </c>
      <c r="E169" s="20" t="s">
        <v>1</v>
      </c>
      <c r="F169" s="19">
        <v>0</v>
      </c>
      <c r="G169" s="19">
        <f>G170</f>
        <v>20000000</v>
      </c>
      <c r="H169" s="19">
        <f>H170</f>
        <v>0</v>
      </c>
      <c r="I169" s="19">
        <f>I170</f>
        <v>0</v>
      </c>
      <c r="J169" s="19">
        <f>J170</f>
        <v>20000000</v>
      </c>
    </row>
    <row r="170" spans="1:13" s="9" customFormat="1" x14ac:dyDescent="0.25">
      <c r="A170" s="39" t="s">
        <v>764</v>
      </c>
      <c r="B170" s="29" t="s">
        <v>1</v>
      </c>
      <c r="C170" s="30" t="s">
        <v>102</v>
      </c>
      <c r="D170" s="31">
        <v>1</v>
      </c>
      <c r="E170" s="32" t="s">
        <v>101</v>
      </c>
      <c r="F170" s="31">
        <v>20000000</v>
      </c>
      <c r="G170" s="31">
        <f>ROUNDDOWN($D170*$F170,-3)</f>
        <v>20000000</v>
      </c>
      <c r="H170" s="31">
        <v>0</v>
      </c>
      <c r="I170" s="31">
        <f>SUMIF(dd_kuitansi[MAK],$A170,dd_kuitansi[Jumlah])</f>
        <v>0</v>
      </c>
      <c r="J170" s="31">
        <f>$G170-SUM($H170:$I170)</f>
        <v>20000000</v>
      </c>
      <c r="M170" s="184"/>
    </row>
    <row r="171" spans="1:13" s="9" customFormat="1" x14ac:dyDescent="0.25">
      <c r="A171" s="39" t="s">
        <v>484</v>
      </c>
      <c r="B171" s="17" t="s">
        <v>41</v>
      </c>
      <c r="C171" s="18" t="s">
        <v>42</v>
      </c>
      <c r="D171" s="19">
        <v>0</v>
      </c>
      <c r="E171" s="20" t="s">
        <v>1</v>
      </c>
      <c r="F171" s="19">
        <v>0</v>
      </c>
      <c r="G171" s="19">
        <f>SUM(G172:G173)</f>
        <v>30000000</v>
      </c>
      <c r="H171" s="19">
        <f>SUM(H172:H173)</f>
        <v>0</v>
      </c>
      <c r="I171" s="19">
        <f>SUM(I172:I173)</f>
        <v>0</v>
      </c>
      <c r="J171" s="19">
        <f>SUM(J172:J173)</f>
        <v>30000000</v>
      </c>
      <c r="M171" s="184"/>
    </row>
    <row r="172" spans="1:13" x14ac:dyDescent="0.25">
      <c r="A172" s="40" t="s">
        <v>765</v>
      </c>
      <c r="B172" s="29" t="s">
        <v>1</v>
      </c>
      <c r="C172" s="30" t="s">
        <v>45</v>
      </c>
      <c r="D172" s="31">
        <v>12</v>
      </c>
      <c r="E172" s="32" t="s">
        <v>16</v>
      </c>
      <c r="F172" s="31">
        <v>1000000</v>
      </c>
      <c r="G172" s="31">
        <f>ROUNDDOWN($D172*$F172,-3)</f>
        <v>12000000</v>
      </c>
      <c r="H172" s="31">
        <v>0</v>
      </c>
      <c r="I172" s="31">
        <f>SUMIF(dd_kuitansi[MAK],$A172,dd_kuitansi[Jumlah])</f>
        <v>0</v>
      </c>
      <c r="J172" s="31">
        <f>$G172-SUM($H172:$I172)</f>
        <v>12000000</v>
      </c>
    </row>
    <row r="173" spans="1:13" x14ac:dyDescent="0.25">
      <c r="A173" s="40" t="s">
        <v>766</v>
      </c>
      <c r="B173" s="29" t="s">
        <v>1</v>
      </c>
      <c r="C173" s="30" t="s">
        <v>43</v>
      </c>
      <c r="D173" s="31">
        <v>12</v>
      </c>
      <c r="E173" s="32" t="s">
        <v>16</v>
      </c>
      <c r="F173" s="31">
        <v>1500000</v>
      </c>
      <c r="G173" s="31">
        <f>ROUNDDOWN($D173*$F173,-3)</f>
        <v>18000000</v>
      </c>
      <c r="H173" s="31">
        <v>0</v>
      </c>
      <c r="I173" s="31">
        <f>SUMIF(dd_kuitansi[MAK],$A173,dd_kuitansi[Jumlah])</f>
        <v>0</v>
      </c>
      <c r="J173" s="31">
        <f>$G173-SUM($H173:$I173)</f>
        <v>18000000</v>
      </c>
    </row>
    <row r="174" spans="1:13" x14ac:dyDescent="0.25">
      <c r="A174" s="40" t="s">
        <v>485</v>
      </c>
      <c r="B174" s="17" t="s">
        <v>46</v>
      </c>
      <c r="C174" s="18" t="s">
        <v>47</v>
      </c>
      <c r="D174" s="19">
        <v>0</v>
      </c>
      <c r="E174" s="20" t="s">
        <v>1</v>
      </c>
      <c r="F174" s="19">
        <v>0</v>
      </c>
      <c r="G174" s="19">
        <f>G175</f>
        <v>26000000</v>
      </c>
      <c r="H174" s="19">
        <f>H175</f>
        <v>0</v>
      </c>
      <c r="I174" s="19">
        <f>I175</f>
        <v>0</v>
      </c>
      <c r="J174" s="19">
        <f>J175</f>
        <v>26000000</v>
      </c>
    </row>
    <row r="175" spans="1:13" s="9" customFormat="1" x14ac:dyDescent="0.25">
      <c r="A175" s="39" t="s">
        <v>767</v>
      </c>
      <c r="B175" s="29" t="s">
        <v>1</v>
      </c>
      <c r="C175" s="30" t="s">
        <v>48</v>
      </c>
      <c r="D175" s="31">
        <v>26</v>
      </c>
      <c r="E175" s="32" t="s">
        <v>49</v>
      </c>
      <c r="F175" s="31">
        <v>1000000</v>
      </c>
      <c r="G175" s="31">
        <f>ROUNDDOWN($D175*$F175,-3)</f>
        <v>26000000</v>
      </c>
      <c r="H175" s="31">
        <v>0</v>
      </c>
      <c r="I175" s="31">
        <f>SUMIF(dd_kuitansi[MAK],$A175,dd_kuitansi[Jumlah])</f>
        <v>0</v>
      </c>
      <c r="J175" s="31">
        <f>$G175-SUM($H175:$I175)</f>
        <v>26000000</v>
      </c>
      <c r="M175" s="184"/>
    </row>
    <row r="176" spans="1:13" x14ac:dyDescent="0.25">
      <c r="A176" s="40" t="s">
        <v>486</v>
      </c>
      <c r="B176" s="17" t="s">
        <v>50</v>
      </c>
      <c r="C176" s="18" t="s">
        <v>51</v>
      </c>
      <c r="D176" s="19">
        <v>0</v>
      </c>
      <c r="E176" s="20" t="s">
        <v>1</v>
      </c>
      <c r="F176" s="19">
        <v>0</v>
      </c>
      <c r="G176" s="19">
        <f>G177</f>
        <v>362885000</v>
      </c>
      <c r="H176" s="19">
        <f>H177</f>
        <v>0</v>
      </c>
      <c r="I176" s="19">
        <f>I177</f>
        <v>0</v>
      </c>
      <c r="J176" s="19">
        <f>J177</f>
        <v>362885000</v>
      </c>
    </row>
    <row r="177" spans="1:13" s="9" customFormat="1" x14ac:dyDescent="0.25">
      <c r="A177" s="39" t="s">
        <v>768</v>
      </c>
      <c r="B177" s="29" t="s">
        <v>1</v>
      </c>
      <c r="C177" s="30" t="s">
        <v>103</v>
      </c>
      <c r="D177" s="31">
        <v>80</v>
      </c>
      <c r="E177" s="32" t="s">
        <v>36</v>
      </c>
      <c r="F177" s="31">
        <v>4536063</v>
      </c>
      <c r="G177" s="31">
        <f>ROUNDDOWN($D177*$F177,-3)</f>
        <v>362885000</v>
      </c>
      <c r="H177" s="31">
        <v>0</v>
      </c>
      <c r="I177" s="31">
        <f>SUMIF(dd_kuitansi[MAK],$A177,dd_kuitansi[Jumlah])</f>
        <v>0</v>
      </c>
      <c r="J177" s="31">
        <f>$G177-SUM($H177:$I177)</f>
        <v>362885000</v>
      </c>
      <c r="M177" s="184"/>
    </row>
    <row r="178" spans="1:13" x14ac:dyDescent="0.25">
      <c r="A178" s="40" t="s">
        <v>487</v>
      </c>
      <c r="B178" s="17" t="s">
        <v>104</v>
      </c>
      <c r="C178" s="18" t="s">
        <v>105</v>
      </c>
      <c r="D178" s="19">
        <v>0</v>
      </c>
      <c r="E178" s="20" t="s">
        <v>1</v>
      </c>
      <c r="F178" s="19">
        <v>0</v>
      </c>
      <c r="G178" s="19">
        <f>G179</f>
        <v>7500000</v>
      </c>
      <c r="H178" s="19">
        <f>H179</f>
        <v>0</v>
      </c>
      <c r="I178" s="19">
        <f>I179</f>
        <v>0</v>
      </c>
      <c r="J178" s="19">
        <f>J179</f>
        <v>7500000</v>
      </c>
    </row>
    <row r="179" spans="1:13" x14ac:dyDescent="0.25">
      <c r="A179" s="40" t="s">
        <v>769</v>
      </c>
      <c r="B179" s="29" t="s">
        <v>1</v>
      </c>
      <c r="C179" s="30" t="s">
        <v>106</v>
      </c>
      <c r="D179" s="31">
        <v>50</v>
      </c>
      <c r="E179" s="32" t="s">
        <v>36</v>
      </c>
      <c r="F179" s="31">
        <v>150000</v>
      </c>
      <c r="G179" s="31">
        <f>ROUNDDOWN($D179*$F179,-3)</f>
        <v>7500000</v>
      </c>
      <c r="H179" s="31">
        <v>0</v>
      </c>
      <c r="I179" s="31">
        <f>SUMIF(dd_kuitansi[MAK],$A179,dd_kuitansi[Jumlah])</f>
        <v>0</v>
      </c>
      <c r="J179" s="31">
        <f>$G179-SUM($H179:$I179)</f>
        <v>7500000</v>
      </c>
    </row>
    <row r="180" spans="1:13" s="9" customFormat="1" x14ac:dyDescent="0.25">
      <c r="A180" s="39" t="s">
        <v>488</v>
      </c>
      <c r="B180" s="17" t="s">
        <v>54</v>
      </c>
      <c r="C180" s="18" t="s">
        <v>55</v>
      </c>
      <c r="D180" s="19">
        <v>0</v>
      </c>
      <c r="E180" s="20" t="s">
        <v>1</v>
      </c>
      <c r="F180" s="19">
        <v>0</v>
      </c>
      <c r="G180" s="19">
        <f>SUM(G181:G184)</f>
        <v>45000000</v>
      </c>
      <c r="H180" s="19">
        <f>SUM(H181:H184)</f>
        <v>0</v>
      </c>
      <c r="I180" s="19">
        <f>SUM(I181:I184)</f>
        <v>0</v>
      </c>
      <c r="J180" s="19">
        <f>SUM(J181:J184)</f>
        <v>45000000</v>
      </c>
      <c r="M180" s="184"/>
    </row>
    <row r="181" spans="1:13" x14ac:dyDescent="0.25">
      <c r="A181" s="40"/>
      <c r="B181" s="29" t="s">
        <v>1</v>
      </c>
      <c r="C181" s="33" t="s">
        <v>107</v>
      </c>
      <c r="D181" s="31">
        <v>0</v>
      </c>
      <c r="E181" s="32" t="s">
        <v>1</v>
      </c>
      <c r="F181" s="31">
        <v>0</v>
      </c>
      <c r="G181" s="31">
        <v>0</v>
      </c>
      <c r="H181" s="31">
        <v>0</v>
      </c>
      <c r="I181" s="31">
        <v>0</v>
      </c>
      <c r="J181" s="31">
        <v>0</v>
      </c>
    </row>
    <row r="182" spans="1:13" s="9" customFormat="1" x14ac:dyDescent="0.25">
      <c r="A182" s="39" t="s">
        <v>770</v>
      </c>
      <c r="B182" s="29" t="s">
        <v>1</v>
      </c>
      <c r="C182" s="30" t="s">
        <v>56</v>
      </c>
      <c r="D182" s="31">
        <v>15</v>
      </c>
      <c r="E182" s="32" t="s">
        <v>36</v>
      </c>
      <c r="F182" s="31">
        <v>300000</v>
      </c>
      <c r="G182" s="31">
        <f>ROUNDDOWN($D182*$F182,-3)</f>
        <v>4500000</v>
      </c>
      <c r="H182" s="31">
        <v>0</v>
      </c>
      <c r="I182" s="31">
        <f>SUMIF(dd_kuitansi[MAK],$A182,dd_kuitansi[Jumlah])</f>
        <v>0</v>
      </c>
      <c r="J182" s="31">
        <f>$G182-SUM($H182:$I182)</f>
        <v>4500000</v>
      </c>
      <c r="M182" s="184"/>
    </row>
    <row r="183" spans="1:13" x14ac:dyDescent="0.25">
      <c r="A183" s="40" t="s">
        <v>771</v>
      </c>
      <c r="B183" s="29" t="s">
        <v>1</v>
      </c>
      <c r="C183" s="30" t="s">
        <v>57</v>
      </c>
      <c r="D183" s="31">
        <v>150</v>
      </c>
      <c r="E183" s="32" t="s">
        <v>36</v>
      </c>
      <c r="F183" s="31">
        <v>250000</v>
      </c>
      <c r="G183" s="31">
        <f>ROUNDDOWN($D183*$F183,-3)</f>
        <v>37500000</v>
      </c>
      <c r="H183" s="31">
        <v>0</v>
      </c>
      <c r="I183" s="31">
        <f>SUMIF(dd_kuitansi[MAK],$A183,dd_kuitansi[Jumlah])</f>
        <v>0</v>
      </c>
      <c r="J183" s="31">
        <f>$G183-SUM($H183:$I183)</f>
        <v>37500000</v>
      </c>
    </row>
    <row r="184" spans="1:13" s="9" customFormat="1" x14ac:dyDescent="0.25">
      <c r="A184" s="39" t="s">
        <v>772</v>
      </c>
      <c r="B184" s="29" t="s">
        <v>1</v>
      </c>
      <c r="C184" s="30" t="s">
        <v>58</v>
      </c>
      <c r="D184" s="31">
        <v>15</v>
      </c>
      <c r="E184" s="32" t="s">
        <v>36</v>
      </c>
      <c r="F184" s="31">
        <v>200000</v>
      </c>
      <c r="G184" s="31">
        <f>ROUNDDOWN($D184*$F184,-3)</f>
        <v>3000000</v>
      </c>
      <c r="H184" s="31">
        <v>0</v>
      </c>
      <c r="I184" s="31">
        <f>SUMIF(dd_kuitansi[MAK],$A184,dd_kuitansi[Jumlah])</f>
        <v>0</v>
      </c>
      <c r="J184" s="31">
        <f>$G184-SUM($H184:$I184)</f>
        <v>3000000</v>
      </c>
      <c r="M184" s="184"/>
    </row>
    <row r="185" spans="1:13" x14ac:dyDescent="0.25">
      <c r="A185" s="40" t="s">
        <v>401</v>
      </c>
      <c r="B185" s="25" t="s">
        <v>108</v>
      </c>
      <c r="C185" s="26" t="s">
        <v>109</v>
      </c>
      <c r="D185" s="27">
        <v>0</v>
      </c>
      <c r="E185" s="28" t="s">
        <v>1</v>
      </c>
      <c r="F185" s="27">
        <v>0</v>
      </c>
      <c r="G185" s="27">
        <f>SUM(G186,G189,G192,G194,G196,G198)</f>
        <v>156063000</v>
      </c>
      <c r="H185" s="27">
        <f>SUM(H186,H189,H192,H194,H196,H198)</f>
        <v>0</v>
      </c>
      <c r="I185" s="27">
        <f>SUM(I186,I189,I192,I194,I196,I198)</f>
        <v>0</v>
      </c>
      <c r="J185" s="27">
        <f>SUM(J186,J189,J192,J194,J196,J198)</f>
        <v>156063000</v>
      </c>
    </row>
    <row r="186" spans="1:13" s="9" customFormat="1" x14ac:dyDescent="0.25">
      <c r="A186" s="39" t="s">
        <v>489</v>
      </c>
      <c r="B186" s="17" t="s">
        <v>33</v>
      </c>
      <c r="C186" s="18" t="s">
        <v>34</v>
      </c>
      <c r="D186" s="19">
        <v>0</v>
      </c>
      <c r="E186" s="20" t="s">
        <v>1</v>
      </c>
      <c r="F186" s="19">
        <v>0</v>
      </c>
      <c r="G186" s="19">
        <f>SUM(G187:G188)</f>
        <v>28800000</v>
      </c>
      <c r="H186" s="19">
        <f>SUM(H187:H188)</f>
        <v>0</v>
      </c>
      <c r="I186" s="19">
        <f>SUM(I187:I188)</f>
        <v>0</v>
      </c>
      <c r="J186" s="19">
        <f>SUM(J187:J188)</f>
        <v>28800000</v>
      </c>
      <c r="M186" s="184"/>
    </row>
    <row r="187" spans="1:13" x14ac:dyDescent="0.25">
      <c r="A187" s="40" t="s">
        <v>773</v>
      </c>
      <c r="B187" s="29" t="s">
        <v>1</v>
      </c>
      <c r="C187" s="30" t="s">
        <v>35</v>
      </c>
      <c r="D187" s="31">
        <v>200</v>
      </c>
      <c r="E187" s="32" t="s">
        <v>36</v>
      </c>
      <c r="F187" s="31">
        <v>69000</v>
      </c>
      <c r="G187" s="31">
        <f>ROUNDDOWN($D187*$F187,-3)</f>
        <v>13800000</v>
      </c>
      <c r="H187" s="31">
        <v>0</v>
      </c>
      <c r="I187" s="31">
        <f>SUMIF(dd_kuitansi[MAK],$A187,dd_kuitansi[Jumlah])</f>
        <v>0</v>
      </c>
      <c r="J187" s="31">
        <f>$G187-SUM($H187:$I187)</f>
        <v>13800000</v>
      </c>
    </row>
    <row r="188" spans="1:13" x14ac:dyDescent="0.25">
      <c r="A188" s="40" t="s">
        <v>774</v>
      </c>
      <c r="B188" s="29" t="s">
        <v>1</v>
      </c>
      <c r="C188" s="30" t="s">
        <v>37</v>
      </c>
      <c r="D188" s="31">
        <v>10</v>
      </c>
      <c r="E188" s="32" t="s">
        <v>16</v>
      </c>
      <c r="F188" s="31">
        <v>1500000</v>
      </c>
      <c r="G188" s="31">
        <f>ROUNDDOWN($D188*$F188,-3)</f>
        <v>15000000</v>
      </c>
      <c r="H188" s="31">
        <v>0</v>
      </c>
      <c r="I188" s="31">
        <f>SUMIF(dd_kuitansi[MAK],$A188,dd_kuitansi[Jumlah])</f>
        <v>0</v>
      </c>
      <c r="J188" s="31">
        <f>$G188-SUM($H188:$I188)</f>
        <v>15000000</v>
      </c>
    </row>
    <row r="189" spans="1:13" x14ac:dyDescent="0.25">
      <c r="A189" s="40" t="s">
        <v>490</v>
      </c>
      <c r="B189" s="17" t="s">
        <v>41</v>
      </c>
      <c r="C189" s="18" t="s">
        <v>42</v>
      </c>
      <c r="D189" s="19">
        <v>0</v>
      </c>
      <c r="E189" s="20" t="s">
        <v>1</v>
      </c>
      <c r="F189" s="19">
        <v>0</v>
      </c>
      <c r="G189" s="19">
        <f>SUM(G190:G191)</f>
        <v>25000000</v>
      </c>
      <c r="H189" s="19">
        <f>SUM(H190:H191)</f>
        <v>0</v>
      </c>
      <c r="I189" s="19">
        <f>SUM(I190:I191)</f>
        <v>0</v>
      </c>
      <c r="J189" s="19">
        <f>SUM(J190:J191)</f>
        <v>25000000</v>
      </c>
    </row>
    <row r="190" spans="1:13" x14ac:dyDescent="0.25">
      <c r="A190" s="40" t="s">
        <v>775</v>
      </c>
      <c r="B190" s="29" t="s">
        <v>1</v>
      </c>
      <c r="C190" s="30" t="s">
        <v>45</v>
      </c>
      <c r="D190" s="31">
        <v>10</v>
      </c>
      <c r="E190" s="32" t="s">
        <v>16</v>
      </c>
      <c r="F190" s="31">
        <v>1000000</v>
      </c>
      <c r="G190" s="31">
        <f>ROUNDDOWN($D190*$F190,-3)</f>
        <v>10000000</v>
      </c>
      <c r="H190" s="31">
        <v>0</v>
      </c>
      <c r="I190" s="31">
        <f>SUMIF(dd_kuitansi[MAK],$A190,dd_kuitansi[Jumlah])</f>
        <v>0</v>
      </c>
      <c r="J190" s="31">
        <f>$G190-SUM($H190:$I190)</f>
        <v>10000000</v>
      </c>
    </row>
    <row r="191" spans="1:13" s="9" customFormat="1" x14ac:dyDescent="0.25">
      <c r="A191" s="39" t="s">
        <v>776</v>
      </c>
      <c r="B191" s="29" t="s">
        <v>1</v>
      </c>
      <c r="C191" s="30" t="s">
        <v>88</v>
      </c>
      <c r="D191" s="31">
        <v>10</v>
      </c>
      <c r="E191" s="32" t="s">
        <v>16</v>
      </c>
      <c r="F191" s="31">
        <v>1500000</v>
      </c>
      <c r="G191" s="31">
        <f>ROUNDDOWN($D191*$F191,-3)</f>
        <v>15000000</v>
      </c>
      <c r="H191" s="31">
        <v>0</v>
      </c>
      <c r="I191" s="31">
        <f>SUMIF(dd_kuitansi[MAK],$A191,dd_kuitansi[Jumlah])</f>
        <v>0</v>
      </c>
      <c r="J191" s="31">
        <f>$G191-SUM($H191:$I191)</f>
        <v>15000000</v>
      </c>
      <c r="M191" s="184"/>
    </row>
    <row r="192" spans="1:13" s="9" customFormat="1" x14ac:dyDescent="0.25">
      <c r="A192" s="39" t="s">
        <v>491</v>
      </c>
      <c r="B192" s="17" t="s">
        <v>46</v>
      </c>
      <c r="C192" s="18" t="s">
        <v>47</v>
      </c>
      <c r="D192" s="19">
        <v>0</v>
      </c>
      <c r="E192" s="20" t="s">
        <v>1</v>
      </c>
      <c r="F192" s="19">
        <v>0</v>
      </c>
      <c r="G192" s="19">
        <f>G193</f>
        <v>4000000</v>
      </c>
      <c r="H192" s="19">
        <f>H193</f>
        <v>0</v>
      </c>
      <c r="I192" s="19">
        <f>I193</f>
        <v>0</v>
      </c>
      <c r="J192" s="19">
        <f>J193</f>
        <v>4000000</v>
      </c>
      <c r="M192" s="184"/>
    </row>
    <row r="193" spans="1:13" x14ac:dyDescent="0.25">
      <c r="A193" s="40" t="s">
        <v>777</v>
      </c>
      <c r="B193" s="29" t="s">
        <v>1</v>
      </c>
      <c r="C193" s="30" t="s">
        <v>48</v>
      </c>
      <c r="D193" s="31">
        <v>4</v>
      </c>
      <c r="E193" s="32" t="s">
        <v>49</v>
      </c>
      <c r="F193" s="31">
        <v>1000000</v>
      </c>
      <c r="G193" s="31">
        <f>ROUNDDOWN($D193*$F193,-3)</f>
        <v>4000000</v>
      </c>
      <c r="H193" s="31">
        <v>0</v>
      </c>
      <c r="I193" s="31">
        <f>SUMIF(dd_kuitansi[MAK],$A193,dd_kuitansi[Jumlah])</f>
        <v>0</v>
      </c>
      <c r="J193" s="31">
        <f>$G193-SUM($H193:$I193)</f>
        <v>4000000</v>
      </c>
    </row>
    <row r="194" spans="1:13" x14ac:dyDescent="0.25">
      <c r="A194" s="40" t="s">
        <v>492</v>
      </c>
      <c r="B194" s="17" t="s">
        <v>50</v>
      </c>
      <c r="C194" s="18" t="s">
        <v>51</v>
      </c>
      <c r="D194" s="19">
        <v>0</v>
      </c>
      <c r="E194" s="20" t="s">
        <v>1</v>
      </c>
      <c r="F194" s="19">
        <v>0</v>
      </c>
      <c r="G194" s="19">
        <f>G195</f>
        <v>72363000</v>
      </c>
      <c r="H194" s="19">
        <f>H195</f>
        <v>0</v>
      </c>
      <c r="I194" s="19">
        <f>I195</f>
        <v>0</v>
      </c>
      <c r="J194" s="19">
        <f>J195</f>
        <v>72363000</v>
      </c>
    </row>
    <row r="195" spans="1:13" s="9" customFormat="1" x14ac:dyDescent="0.25">
      <c r="A195" s="39" t="s">
        <v>778</v>
      </c>
      <c r="B195" s="29" t="s">
        <v>1</v>
      </c>
      <c r="C195" s="30" t="s">
        <v>110</v>
      </c>
      <c r="D195" s="31">
        <v>28</v>
      </c>
      <c r="E195" s="32" t="s">
        <v>36</v>
      </c>
      <c r="F195" s="31">
        <v>2584393</v>
      </c>
      <c r="G195" s="31">
        <f>ROUNDDOWN($D195*$F195,-3)</f>
        <v>72363000</v>
      </c>
      <c r="H195" s="31">
        <v>0</v>
      </c>
      <c r="I195" s="31">
        <f>SUMIF(dd_kuitansi[MAK],$A195,dd_kuitansi[Jumlah])</f>
        <v>0</v>
      </c>
      <c r="J195" s="31">
        <f>$G195-SUM($H195:$I195)</f>
        <v>72363000</v>
      </c>
      <c r="M195" s="184"/>
    </row>
    <row r="196" spans="1:13" x14ac:dyDescent="0.25">
      <c r="A196" s="40" t="s">
        <v>493</v>
      </c>
      <c r="B196" s="17" t="s">
        <v>104</v>
      </c>
      <c r="C196" s="18" t="s">
        <v>105</v>
      </c>
      <c r="D196" s="19">
        <v>0</v>
      </c>
      <c r="E196" s="20" t="s">
        <v>1</v>
      </c>
      <c r="F196" s="19">
        <v>0</v>
      </c>
      <c r="G196" s="19">
        <f>G197</f>
        <v>900000</v>
      </c>
      <c r="H196" s="19">
        <f>H197</f>
        <v>0</v>
      </c>
      <c r="I196" s="19">
        <f>I197</f>
        <v>0</v>
      </c>
      <c r="J196" s="19">
        <f>J197</f>
        <v>900000</v>
      </c>
    </row>
    <row r="197" spans="1:13" x14ac:dyDescent="0.25">
      <c r="A197" s="40" t="s">
        <v>779</v>
      </c>
      <c r="B197" s="29" t="s">
        <v>1</v>
      </c>
      <c r="C197" s="30" t="s">
        <v>106</v>
      </c>
      <c r="D197" s="31">
        <v>6</v>
      </c>
      <c r="E197" s="32" t="s">
        <v>36</v>
      </c>
      <c r="F197" s="31">
        <v>150000</v>
      </c>
      <c r="G197" s="31">
        <f>ROUNDDOWN($D197*$F197,-3)</f>
        <v>900000</v>
      </c>
      <c r="H197" s="31">
        <v>0</v>
      </c>
      <c r="I197" s="31">
        <f>SUMIF(dd_kuitansi[MAK],$A197,dd_kuitansi[Jumlah])</f>
        <v>0</v>
      </c>
      <c r="J197" s="31">
        <f>$G197-SUM($H197:$I197)</f>
        <v>900000</v>
      </c>
    </row>
    <row r="198" spans="1:13" s="9" customFormat="1" x14ac:dyDescent="0.25">
      <c r="A198" s="39" t="s">
        <v>494</v>
      </c>
      <c r="B198" s="17" t="s">
        <v>54</v>
      </c>
      <c r="C198" s="18" t="s">
        <v>55</v>
      </c>
      <c r="D198" s="19">
        <v>0</v>
      </c>
      <c r="E198" s="20" t="s">
        <v>1</v>
      </c>
      <c r="F198" s="19">
        <v>0</v>
      </c>
      <c r="G198" s="19">
        <f>SUM(G199:G202)</f>
        <v>25000000</v>
      </c>
      <c r="H198" s="19">
        <f>SUM(H199:H202)</f>
        <v>0</v>
      </c>
      <c r="I198" s="19">
        <f>SUM(I199:I202)</f>
        <v>0</v>
      </c>
      <c r="J198" s="19">
        <f>SUM(J199:J202)</f>
        <v>25000000</v>
      </c>
      <c r="M198" s="184"/>
    </row>
    <row r="199" spans="1:13" x14ac:dyDescent="0.25">
      <c r="A199" s="40"/>
      <c r="B199" s="29" t="s">
        <v>1</v>
      </c>
      <c r="C199" s="33" t="s">
        <v>90</v>
      </c>
      <c r="D199" s="31">
        <v>0</v>
      </c>
      <c r="E199" s="32" t="s">
        <v>1</v>
      </c>
      <c r="F199" s="31">
        <v>0</v>
      </c>
      <c r="G199" s="31">
        <v>0</v>
      </c>
      <c r="H199" s="31">
        <v>0</v>
      </c>
      <c r="I199" s="31">
        <v>0</v>
      </c>
      <c r="J199" s="31">
        <v>0</v>
      </c>
    </row>
    <row r="200" spans="1:13" s="9" customFormat="1" x14ac:dyDescent="0.25">
      <c r="A200" s="39" t="s">
        <v>780</v>
      </c>
      <c r="B200" s="29" t="s">
        <v>1</v>
      </c>
      <c r="C200" s="30" t="s">
        <v>56</v>
      </c>
      <c r="D200" s="31">
        <v>10</v>
      </c>
      <c r="E200" s="32" t="s">
        <v>36</v>
      </c>
      <c r="F200" s="31">
        <v>300000</v>
      </c>
      <c r="G200" s="31">
        <f>ROUNDDOWN($D200*$F200,-3)</f>
        <v>3000000</v>
      </c>
      <c r="H200" s="31">
        <v>0</v>
      </c>
      <c r="I200" s="31">
        <f>SUMIF(dd_kuitansi[MAK],$A200,dd_kuitansi[Jumlah])</f>
        <v>0</v>
      </c>
      <c r="J200" s="31">
        <f>$G200-SUM($H200:$I200)</f>
        <v>3000000</v>
      </c>
      <c r="M200" s="184"/>
    </row>
    <row r="201" spans="1:13" x14ac:dyDescent="0.25">
      <c r="A201" s="40" t="s">
        <v>781</v>
      </c>
      <c r="B201" s="29" t="s">
        <v>1</v>
      </c>
      <c r="C201" s="30" t="s">
        <v>57</v>
      </c>
      <c r="D201" s="31">
        <v>80</v>
      </c>
      <c r="E201" s="32" t="s">
        <v>36</v>
      </c>
      <c r="F201" s="31">
        <v>250000</v>
      </c>
      <c r="G201" s="31">
        <f>ROUNDDOWN($D201*$F201,-3)</f>
        <v>20000000</v>
      </c>
      <c r="H201" s="31">
        <v>0</v>
      </c>
      <c r="I201" s="31">
        <f>SUMIF(dd_kuitansi[MAK],$A201,dd_kuitansi[Jumlah])</f>
        <v>0</v>
      </c>
      <c r="J201" s="31">
        <f>$G201-SUM($H201:$I201)</f>
        <v>20000000</v>
      </c>
    </row>
    <row r="202" spans="1:13" s="9" customFormat="1" x14ac:dyDescent="0.25">
      <c r="A202" s="39" t="s">
        <v>782</v>
      </c>
      <c r="B202" s="29" t="s">
        <v>1</v>
      </c>
      <c r="C202" s="30" t="s">
        <v>58</v>
      </c>
      <c r="D202" s="31">
        <v>10</v>
      </c>
      <c r="E202" s="32" t="s">
        <v>36</v>
      </c>
      <c r="F202" s="31">
        <v>200000</v>
      </c>
      <c r="G202" s="31">
        <f>ROUNDDOWN($D202*$F202,-3)</f>
        <v>2000000</v>
      </c>
      <c r="H202" s="31">
        <v>0</v>
      </c>
      <c r="I202" s="31">
        <f>SUMIF(dd_kuitansi[MAK],$A202,dd_kuitansi[Jumlah])</f>
        <v>0</v>
      </c>
      <c r="J202" s="31">
        <f>$G202-SUM($H202:$I202)</f>
        <v>2000000</v>
      </c>
      <c r="M202" s="184"/>
    </row>
    <row r="203" spans="1:13" x14ac:dyDescent="0.25">
      <c r="A203" s="40" t="s">
        <v>402</v>
      </c>
      <c r="B203" s="25" t="s">
        <v>111</v>
      </c>
      <c r="C203" s="26" t="s">
        <v>112</v>
      </c>
      <c r="D203" s="27">
        <v>0</v>
      </c>
      <c r="E203" s="28" t="s">
        <v>1</v>
      </c>
      <c r="F203" s="27">
        <v>0</v>
      </c>
      <c r="G203" s="27">
        <f>SUM(G204,G207,G210,G212,G214,G216)</f>
        <v>194542000</v>
      </c>
      <c r="H203" s="27">
        <f>SUM(H204,H207,H210,H212,H214,H216)</f>
        <v>0</v>
      </c>
      <c r="I203" s="27">
        <f>SUM(I204,I207,I210,I212,I214,I216)</f>
        <v>0</v>
      </c>
      <c r="J203" s="27">
        <f>SUM(J204,J207,J210,J212,J214,J216)</f>
        <v>194542000</v>
      </c>
    </row>
    <row r="204" spans="1:13" s="9" customFormat="1" x14ac:dyDescent="0.25">
      <c r="A204" s="39" t="s">
        <v>495</v>
      </c>
      <c r="B204" s="17" t="s">
        <v>33</v>
      </c>
      <c r="C204" s="18" t="s">
        <v>34</v>
      </c>
      <c r="D204" s="19">
        <v>0</v>
      </c>
      <c r="E204" s="20" t="s">
        <v>1</v>
      </c>
      <c r="F204" s="19">
        <v>0</v>
      </c>
      <c r="G204" s="19">
        <f>SUM(G205:G206)</f>
        <v>39600000</v>
      </c>
      <c r="H204" s="19">
        <f>SUM(H205:H206)</f>
        <v>0</v>
      </c>
      <c r="I204" s="19">
        <f>SUM(I205:I206)</f>
        <v>0</v>
      </c>
      <c r="J204" s="19">
        <f>SUM(J205:J206)</f>
        <v>39600000</v>
      </c>
      <c r="M204" s="184"/>
    </row>
    <row r="205" spans="1:13" x14ac:dyDescent="0.25">
      <c r="A205" s="40" t="s">
        <v>783</v>
      </c>
      <c r="B205" s="29" t="s">
        <v>1</v>
      </c>
      <c r="C205" s="30" t="s">
        <v>35</v>
      </c>
      <c r="D205" s="31">
        <v>400</v>
      </c>
      <c r="E205" s="32" t="s">
        <v>36</v>
      </c>
      <c r="F205" s="31">
        <v>69000</v>
      </c>
      <c r="G205" s="31">
        <f>ROUNDDOWN($D205*$F205,-3)</f>
        <v>27600000</v>
      </c>
      <c r="H205" s="31">
        <v>0</v>
      </c>
      <c r="I205" s="31">
        <f>SUMIF(dd_kuitansi[MAK],$A205,dd_kuitansi[Jumlah])</f>
        <v>0</v>
      </c>
      <c r="J205" s="31">
        <f>$G205-SUM($H205:$I205)</f>
        <v>27600000</v>
      </c>
    </row>
    <row r="206" spans="1:13" x14ac:dyDescent="0.25">
      <c r="A206" s="40" t="s">
        <v>784</v>
      </c>
      <c r="B206" s="29" t="s">
        <v>1</v>
      </c>
      <c r="C206" s="30" t="s">
        <v>37</v>
      </c>
      <c r="D206" s="31">
        <v>8</v>
      </c>
      <c r="E206" s="32" t="s">
        <v>16</v>
      </c>
      <c r="F206" s="31">
        <v>1500000</v>
      </c>
      <c r="G206" s="31">
        <f>ROUNDDOWN($D206*$F206,-3)</f>
        <v>12000000</v>
      </c>
      <c r="H206" s="31">
        <v>0</v>
      </c>
      <c r="I206" s="31">
        <f>SUMIF(dd_kuitansi[MAK],$A206,dd_kuitansi[Jumlah])</f>
        <v>0</v>
      </c>
      <c r="J206" s="31">
        <f>$G206-SUM($H206:$I206)</f>
        <v>12000000</v>
      </c>
    </row>
    <row r="207" spans="1:13" x14ac:dyDescent="0.25">
      <c r="A207" s="40" t="s">
        <v>496</v>
      </c>
      <c r="B207" s="17" t="s">
        <v>41</v>
      </c>
      <c r="C207" s="18" t="s">
        <v>42</v>
      </c>
      <c r="D207" s="19">
        <v>0</v>
      </c>
      <c r="E207" s="20" t="s">
        <v>1</v>
      </c>
      <c r="F207" s="19">
        <v>0</v>
      </c>
      <c r="G207" s="19">
        <f>SUM(G208:G209)</f>
        <v>20000000</v>
      </c>
      <c r="H207" s="19">
        <f>SUM(H208:H209)</f>
        <v>0</v>
      </c>
      <c r="I207" s="19">
        <f>SUM(I208:I209)</f>
        <v>0</v>
      </c>
      <c r="J207" s="19">
        <f>SUM(J208:J209)</f>
        <v>20000000</v>
      </c>
    </row>
    <row r="208" spans="1:13" x14ac:dyDescent="0.25">
      <c r="A208" s="40" t="s">
        <v>785</v>
      </c>
      <c r="B208" s="29" t="s">
        <v>1</v>
      </c>
      <c r="C208" s="30" t="s">
        <v>45</v>
      </c>
      <c r="D208" s="31">
        <v>8</v>
      </c>
      <c r="E208" s="32" t="s">
        <v>16</v>
      </c>
      <c r="F208" s="31">
        <v>1000000</v>
      </c>
      <c r="G208" s="31">
        <f>ROUNDDOWN($D208*$F208,-3)</f>
        <v>8000000</v>
      </c>
      <c r="H208" s="31">
        <v>0</v>
      </c>
      <c r="I208" s="31">
        <f>SUMIF(dd_kuitansi[MAK],$A208,dd_kuitansi[Jumlah])</f>
        <v>0</v>
      </c>
      <c r="J208" s="31">
        <f>$G208-SUM($H208:$I208)</f>
        <v>8000000</v>
      </c>
    </row>
    <row r="209" spans="1:13" s="9" customFormat="1" x14ac:dyDescent="0.25">
      <c r="A209" s="39" t="s">
        <v>786</v>
      </c>
      <c r="B209" s="29" t="s">
        <v>1</v>
      </c>
      <c r="C209" s="30" t="s">
        <v>88</v>
      </c>
      <c r="D209" s="31">
        <v>8</v>
      </c>
      <c r="E209" s="32" t="s">
        <v>16</v>
      </c>
      <c r="F209" s="31">
        <v>1500000</v>
      </c>
      <c r="G209" s="31">
        <f>ROUNDDOWN($D209*$F209,-3)</f>
        <v>12000000</v>
      </c>
      <c r="H209" s="31">
        <v>0</v>
      </c>
      <c r="I209" s="31">
        <f>SUMIF(dd_kuitansi[MAK],$A209,dd_kuitansi[Jumlah])</f>
        <v>0</v>
      </c>
      <c r="J209" s="31">
        <f>$G209-SUM($H209:$I209)</f>
        <v>12000000</v>
      </c>
      <c r="M209" s="184"/>
    </row>
    <row r="210" spans="1:13" s="9" customFormat="1" x14ac:dyDescent="0.25">
      <c r="A210" s="39" t="s">
        <v>497</v>
      </c>
      <c r="B210" s="17" t="s">
        <v>46</v>
      </c>
      <c r="C210" s="18" t="s">
        <v>47</v>
      </c>
      <c r="D210" s="19">
        <v>0</v>
      </c>
      <c r="E210" s="20" t="s">
        <v>1</v>
      </c>
      <c r="F210" s="19">
        <v>0</v>
      </c>
      <c r="G210" s="19">
        <f>G211</f>
        <v>13000000</v>
      </c>
      <c r="H210" s="19">
        <f>H211</f>
        <v>0</v>
      </c>
      <c r="I210" s="19">
        <f>I211</f>
        <v>0</v>
      </c>
      <c r="J210" s="19">
        <f>J211</f>
        <v>13000000</v>
      </c>
      <c r="M210" s="184"/>
    </row>
    <row r="211" spans="1:13" x14ac:dyDescent="0.25">
      <c r="A211" s="40" t="s">
        <v>787</v>
      </c>
      <c r="B211" s="29" t="s">
        <v>1</v>
      </c>
      <c r="C211" s="30" t="s">
        <v>48</v>
      </c>
      <c r="D211" s="31">
        <v>13</v>
      </c>
      <c r="E211" s="32" t="s">
        <v>49</v>
      </c>
      <c r="F211" s="31">
        <v>1000000</v>
      </c>
      <c r="G211" s="31">
        <f>ROUNDDOWN($D211*$F211,-3)</f>
        <v>13000000</v>
      </c>
      <c r="H211" s="31">
        <v>0</v>
      </c>
      <c r="I211" s="31">
        <f>SUMIF(dd_kuitansi[MAK],$A211,dd_kuitansi[Jumlah])</f>
        <v>0</v>
      </c>
      <c r="J211" s="31">
        <f>$G211-SUM($H211:$I211)</f>
        <v>13000000</v>
      </c>
    </row>
    <row r="212" spans="1:13" x14ac:dyDescent="0.25">
      <c r="A212" s="40" t="s">
        <v>498</v>
      </c>
      <c r="B212" s="17" t="s">
        <v>50</v>
      </c>
      <c r="C212" s="18" t="s">
        <v>51</v>
      </c>
      <c r="D212" s="19">
        <v>0</v>
      </c>
      <c r="E212" s="20" t="s">
        <v>1</v>
      </c>
      <c r="F212" s="19">
        <v>0</v>
      </c>
      <c r="G212" s="19">
        <f>G213</f>
        <v>96042000</v>
      </c>
      <c r="H212" s="19">
        <f>H213</f>
        <v>0</v>
      </c>
      <c r="I212" s="19">
        <f>I213</f>
        <v>0</v>
      </c>
      <c r="J212" s="19">
        <f>J213</f>
        <v>96042000</v>
      </c>
    </row>
    <row r="213" spans="1:13" s="9" customFormat="1" ht="25.5" x14ac:dyDescent="0.25">
      <c r="A213" s="39" t="s">
        <v>788</v>
      </c>
      <c r="B213" s="29" t="s">
        <v>1</v>
      </c>
      <c r="C213" s="30" t="s">
        <v>113</v>
      </c>
      <c r="D213" s="31">
        <v>39</v>
      </c>
      <c r="E213" s="32" t="s">
        <v>36</v>
      </c>
      <c r="F213" s="31">
        <v>2462620</v>
      </c>
      <c r="G213" s="31">
        <f>ROUNDDOWN($D213*$F213,-3)</f>
        <v>96042000</v>
      </c>
      <c r="H213" s="31">
        <v>0</v>
      </c>
      <c r="I213" s="31">
        <f>SUMIF(dd_kuitansi[MAK],$A213,dd_kuitansi[Jumlah])</f>
        <v>0</v>
      </c>
      <c r="J213" s="31">
        <f>$G213-SUM($H213:$I213)</f>
        <v>96042000</v>
      </c>
      <c r="M213" s="184"/>
    </row>
    <row r="214" spans="1:13" x14ac:dyDescent="0.25">
      <c r="A214" s="40" t="s">
        <v>499</v>
      </c>
      <c r="B214" s="17" t="s">
        <v>104</v>
      </c>
      <c r="C214" s="18" t="s">
        <v>105</v>
      </c>
      <c r="D214" s="19">
        <v>0</v>
      </c>
      <c r="E214" s="20" t="s">
        <v>1</v>
      </c>
      <c r="F214" s="19">
        <v>0</v>
      </c>
      <c r="G214" s="19">
        <f>G215</f>
        <v>900000</v>
      </c>
      <c r="H214" s="19">
        <f>H215</f>
        <v>0</v>
      </c>
      <c r="I214" s="19">
        <f>I215</f>
        <v>0</v>
      </c>
      <c r="J214" s="19">
        <f>J215</f>
        <v>900000</v>
      </c>
    </row>
    <row r="215" spans="1:13" x14ac:dyDescent="0.25">
      <c r="A215" s="40" t="s">
        <v>789</v>
      </c>
      <c r="B215" s="29" t="s">
        <v>1</v>
      </c>
      <c r="C215" s="30" t="s">
        <v>106</v>
      </c>
      <c r="D215" s="31">
        <v>6</v>
      </c>
      <c r="E215" s="32" t="s">
        <v>36</v>
      </c>
      <c r="F215" s="31">
        <v>150000</v>
      </c>
      <c r="G215" s="31">
        <f>ROUNDDOWN($D215*$F215,-3)</f>
        <v>900000</v>
      </c>
      <c r="H215" s="31">
        <v>0</v>
      </c>
      <c r="I215" s="31">
        <f>SUMIF(dd_kuitansi[MAK],$A215,dd_kuitansi[Jumlah])</f>
        <v>0</v>
      </c>
      <c r="J215" s="31">
        <f>$G215-SUM($H215:$I215)</f>
        <v>900000</v>
      </c>
    </row>
    <row r="216" spans="1:13" s="9" customFormat="1" x14ac:dyDescent="0.25">
      <c r="A216" s="39" t="s">
        <v>500</v>
      </c>
      <c r="B216" s="17" t="s">
        <v>54</v>
      </c>
      <c r="C216" s="18" t="s">
        <v>55</v>
      </c>
      <c r="D216" s="19">
        <v>0</v>
      </c>
      <c r="E216" s="20" t="s">
        <v>1</v>
      </c>
      <c r="F216" s="19">
        <v>0</v>
      </c>
      <c r="G216" s="19">
        <f>SUM(G217:G220)</f>
        <v>25000000</v>
      </c>
      <c r="H216" s="19">
        <f>SUM(H217:H220)</f>
        <v>0</v>
      </c>
      <c r="I216" s="19">
        <f>SUM(I217:I220)</f>
        <v>0</v>
      </c>
      <c r="J216" s="19">
        <f>SUM(J217:J220)</f>
        <v>25000000</v>
      </c>
      <c r="M216" s="184"/>
    </row>
    <row r="217" spans="1:13" x14ac:dyDescent="0.25">
      <c r="A217" s="40"/>
      <c r="B217" s="29" t="s">
        <v>1</v>
      </c>
      <c r="C217" s="33" t="s">
        <v>90</v>
      </c>
      <c r="D217" s="31">
        <v>0</v>
      </c>
      <c r="E217" s="32" t="s">
        <v>1</v>
      </c>
      <c r="F217" s="31">
        <v>0</v>
      </c>
      <c r="G217" s="31">
        <v>0</v>
      </c>
      <c r="H217" s="31">
        <v>0</v>
      </c>
      <c r="I217" s="31">
        <v>0</v>
      </c>
      <c r="J217" s="31">
        <v>0</v>
      </c>
    </row>
    <row r="218" spans="1:13" s="9" customFormat="1" x14ac:dyDescent="0.25">
      <c r="A218" s="39" t="s">
        <v>790</v>
      </c>
      <c r="B218" s="29" t="s">
        <v>1</v>
      </c>
      <c r="C218" s="30" t="s">
        <v>56</v>
      </c>
      <c r="D218" s="31">
        <v>10</v>
      </c>
      <c r="E218" s="32" t="s">
        <v>36</v>
      </c>
      <c r="F218" s="31">
        <v>300000</v>
      </c>
      <c r="G218" s="31">
        <f>ROUNDDOWN($D218*$F218,-3)</f>
        <v>3000000</v>
      </c>
      <c r="H218" s="31">
        <v>0</v>
      </c>
      <c r="I218" s="31">
        <f>SUMIF(dd_kuitansi[MAK],$A218,dd_kuitansi[Jumlah])</f>
        <v>0</v>
      </c>
      <c r="J218" s="31">
        <f>$G218-SUM($H218:$I218)</f>
        <v>3000000</v>
      </c>
      <c r="M218" s="184"/>
    </row>
    <row r="219" spans="1:13" x14ac:dyDescent="0.25">
      <c r="A219" s="40" t="s">
        <v>791</v>
      </c>
      <c r="B219" s="29" t="s">
        <v>1</v>
      </c>
      <c r="C219" s="30" t="s">
        <v>57</v>
      </c>
      <c r="D219" s="31">
        <v>80</v>
      </c>
      <c r="E219" s="32" t="s">
        <v>36</v>
      </c>
      <c r="F219" s="31">
        <v>250000</v>
      </c>
      <c r="G219" s="31">
        <f>ROUNDDOWN($D219*$F219,-3)</f>
        <v>20000000</v>
      </c>
      <c r="H219" s="31">
        <v>0</v>
      </c>
      <c r="I219" s="31">
        <f>SUMIF(dd_kuitansi[MAK],$A219,dd_kuitansi[Jumlah])</f>
        <v>0</v>
      </c>
      <c r="J219" s="31">
        <f>$G219-SUM($H219:$I219)</f>
        <v>20000000</v>
      </c>
    </row>
    <row r="220" spans="1:13" s="9" customFormat="1" x14ac:dyDescent="0.25">
      <c r="A220" s="39" t="s">
        <v>792</v>
      </c>
      <c r="B220" s="29" t="s">
        <v>1</v>
      </c>
      <c r="C220" s="30" t="s">
        <v>58</v>
      </c>
      <c r="D220" s="31">
        <v>10</v>
      </c>
      <c r="E220" s="32" t="s">
        <v>36</v>
      </c>
      <c r="F220" s="31">
        <v>200000</v>
      </c>
      <c r="G220" s="31">
        <f>ROUNDDOWN($D220*$F220,-3)</f>
        <v>2000000</v>
      </c>
      <c r="H220" s="31">
        <v>0</v>
      </c>
      <c r="I220" s="31">
        <f>SUMIF(dd_kuitansi[MAK],$A220,dd_kuitansi[Jumlah])</f>
        <v>0</v>
      </c>
      <c r="J220" s="31">
        <f>$G220-SUM($H220:$I220)</f>
        <v>2000000</v>
      </c>
      <c r="M220" s="184"/>
    </row>
    <row r="221" spans="1:13" x14ac:dyDescent="0.25">
      <c r="A221" s="40" t="s">
        <v>403</v>
      </c>
      <c r="B221" s="25" t="s">
        <v>114</v>
      </c>
      <c r="C221" s="26" t="s">
        <v>115</v>
      </c>
      <c r="D221" s="27">
        <v>0</v>
      </c>
      <c r="E221" s="28" t="s">
        <v>1</v>
      </c>
      <c r="F221" s="27">
        <v>0</v>
      </c>
      <c r="G221" s="27">
        <f>SUM(G222,G227,G229,G231,G233)</f>
        <v>76300000</v>
      </c>
      <c r="H221" s="27">
        <f>SUM(H222,H227,H229,H231,H233)</f>
        <v>0</v>
      </c>
      <c r="I221" s="27">
        <f>SUM(I222,I227,I229,I231,I233)</f>
        <v>0</v>
      </c>
      <c r="J221" s="27">
        <f>SUM(J222,J227,J229,J231,J233)</f>
        <v>76300000</v>
      </c>
    </row>
    <row r="222" spans="1:13" s="9" customFormat="1" x14ac:dyDescent="0.25">
      <c r="A222" s="39" t="s">
        <v>501</v>
      </c>
      <c r="B222" s="17" t="s">
        <v>33</v>
      </c>
      <c r="C222" s="18" t="s">
        <v>34</v>
      </c>
      <c r="D222" s="19">
        <v>0</v>
      </c>
      <c r="E222" s="20" t="s">
        <v>1</v>
      </c>
      <c r="F222" s="19">
        <v>0</v>
      </c>
      <c r="G222" s="19">
        <f>SUM(G223:G226)</f>
        <v>20900000</v>
      </c>
      <c r="H222" s="19">
        <f>SUM(H223:H226)</f>
        <v>0</v>
      </c>
      <c r="I222" s="19">
        <f>SUM(I223:I226)</f>
        <v>0</v>
      </c>
      <c r="J222" s="19">
        <f>SUM(J223:J226)</f>
        <v>20900000</v>
      </c>
      <c r="M222" s="184"/>
    </row>
    <row r="223" spans="1:13" x14ac:dyDescent="0.25">
      <c r="A223" s="40" t="s">
        <v>793</v>
      </c>
      <c r="B223" s="29" t="s">
        <v>1</v>
      </c>
      <c r="C223" s="30" t="s">
        <v>35</v>
      </c>
      <c r="D223" s="31">
        <v>100</v>
      </c>
      <c r="E223" s="32" t="s">
        <v>36</v>
      </c>
      <c r="F223" s="31">
        <v>69000</v>
      </c>
      <c r="G223" s="31">
        <f>ROUNDDOWN($D223*$F223,-3)</f>
        <v>6900000</v>
      </c>
      <c r="H223" s="31">
        <v>0</v>
      </c>
      <c r="I223" s="31">
        <f>SUMIF(dd_kuitansi[MAK],$A223,dd_kuitansi[Jumlah])</f>
        <v>0</v>
      </c>
      <c r="J223" s="31">
        <f>$G223-SUM($H223:$I223)</f>
        <v>6900000</v>
      </c>
    </row>
    <row r="224" spans="1:13" x14ac:dyDescent="0.25">
      <c r="A224" s="40" t="s">
        <v>794</v>
      </c>
      <c r="B224" s="29" t="s">
        <v>1</v>
      </c>
      <c r="C224" s="30" t="s">
        <v>37</v>
      </c>
      <c r="D224" s="31">
        <v>3</v>
      </c>
      <c r="E224" s="32" t="s">
        <v>16</v>
      </c>
      <c r="F224" s="31">
        <v>1500000</v>
      </c>
      <c r="G224" s="31">
        <f>ROUNDDOWN($D224*$F224,-3)</f>
        <v>4500000</v>
      </c>
      <c r="H224" s="31">
        <v>0</v>
      </c>
      <c r="I224" s="31">
        <f>SUMIF(dd_kuitansi[MAK],$A224,dd_kuitansi[Jumlah])</f>
        <v>0</v>
      </c>
      <c r="J224" s="31">
        <f>$G224-SUM($H224:$I224)</f>
        <v>4500000</v>
      </c>
    </row>
    <row r="225" spans="1:13" x14ac:dyDescent="0.25">
      <c r="A225" s="40" t="s">
        <v>795</v>
      </c>
      <c r="B225" s="29" t="s">
        <v>1</v>
      </c>
      <c r="C225" s="30" t="s">
        <v>45</v>
      </c>
      <c r="D225" s="31">
        <v>5</v>
      </c>
      <c r="E225" s="32" t="s">
        <v>16</v>
      </c>
      <c r="F225" s="31">
        <v>1000000</v>
      </c>
      <c r="G225" s="31">
        <f>ROUNDDOWN($D225*$F225,-3)</f>
        <v>5000000</v>
      </c>
      <c r="H225" s="31">
        <v>0</v>
      </c>
      <c r="I225" s="31">
        <f>SUMIF(dd_kuitansi[MAK],$A225,dd_kuitansi[Jumlah])</f>
        <v>0</v>
      </c>
      <c r="J225" s="31">
        <f>$G225-SUM($H225:$I225)</f>
        <v>5000000</v>
      </c>
    </row>
    <row r="226" spans="1:13" x14ac:dyDescent="0.25">
      <c r="A226" s="40" t="s">
        <v>796</v>
      </c>
      <c r="B226" s="29" t="s">
        <v>1</v>
      </c>
      <c r="C226" s="30" t="s">
        <v>43</v>
      </c>
      <c r="D226" s="31">
        <v>3</v>
      </c>
      <c r="E226" s="32" t="s">
        <v>16</v>
      </c>
      <c r="F226" s="31">
        <v>1500000</v>
      </c>
      <c r="G226" s="31">
        <f>ROUNDDOWN($D226*$F226,-3)</f>
        <v>4500000</v>
      </c>
      <c r="H226" s="31">
        <v>0</v>
      </c>
      <c r="I226" s="31">
        <f>SUMIF(dd_kuitansi[MAK],$A226,dd_kuitansi[Jumlah])</f>
        <v>0</v>
      </c>
      <c r="J226" s="31">
        <f>$G226-SUM($H226:$I226)</f>
        <v>4500000</v>
      </c>
    </row>
    <row r="227" spans="1:13" s="9" customFormat="1" x14ac:dyDescent="0.25">
      <c r="A227" s="39" t="s">
        <v>502</v>
      </c>
      <c r="B227" s="17" t="s">
        <v>46</v>
      </c>
      <c r="C227" s="18" t="s">
        <v>47</v>
      </c>
      <c r="D227" s="19">
        <v>0</v>
      </c>
      <c r="E227" s="20" t="s">
        <v>1</v>
      </c>
      <c r="F227" s="19">
        <v>0</v>
      </c>
      <c r="G227" s="19">
        <f>G228</f>
        <v>4000000</v>
      </c>
      <c r="H227" s="19">
        <f>H228</f>
        <v>0</v>
      </c>
      <c r="I227" s="19">
        <f>I228</f>
        <v>0</v>
      </c>
      <c r="J227" s="19">
        <f>J228</f>
        <v>4000000</v>
      </c>
      <c r="M227" s="184"/>
    </row>
    <row r="228" spans="1:13" s="9" customFormat="1" x14ac:dyDescent="0.25">
      <c r="A228" s="39" t="s">
        <v>797</v>
      </c>
      <c r="B228" s="29" t="s">
        <v>1</v>
      </c>
      <c r="C228" s="30" t="s">
        <v>48</v>
      </c>
      <c r="D228" s="31">
        <v>4</v>
      </c>
      <c r="E228" s="32" t="s">
        <v>49</v>
      </c>
      <c r="F228" s="31">
        <v>1000000</v>
      </c>
      <c r="G228" s="31">
        <f>ROUNDDOWN($D228*$F228,-3)</f>
        <v>4000000</v>
      </c>
      <c r="H228" s="31">
        <v>0</v>
      </c>
      <c r="I228" s="31">
        <f>SUMIF(dd_kuitansi[MAK],$A228,dd_kuitansi[Jumlah])</f>
        <v>0</v>
      </c>
      <c r="J228" s="31">
        <f>$G228-SUM($H228:$I228)</f>
        <v>4000000</v>
      </c>
      <c r="M228" s="184"/>
    </row>
    <row r="229" spans="1:13" x14ac:dyDescent="0.25">
      <c r="A229" s="40" t="s">
        <v>503</v>
      </c>
      <c r="B229" s="17" t="s">
        <v>50</v>
      </c>
      <c r="C229" s="18" t="s">
        <v>51</v>
      </c>
      <c r="D229" s="19">
        <v>0</v>
      </c>
      <c r="E229" s="20" t="s">
        <v>1</v>
      </c>
      <c r="F229" s="19">
        <v>0</v>
      </c>
      <c r="G229" s="19">
        <f>G230</f>
        <v>38300000</v>
      </c>
      <c r="H229" s="19">
        <f>H230</f>
        <v>0</v>
      </c>
      <c r="I229" s="19">
        <f>I230</f>
        <v>0</v>
      </c>
      <c r="J229" s="19">
        <f>J230</f>
        <v>38300000</v>
      </c>
    </row>
    <row r="230" spans="1:13" ht="25.5" x14ac:dyDescent="0.25">
      <c r="A230" s="40" t="s">
        <v>798</v>
      </c>
      <c r="B230" s="29" t="s">
        <v>1</v>
      </c>
      <c r="C230" s="30" t="s">
        <v>116</v>
      </c>
      <c r="D230" s="31">
        <v>50</v>
      </c>
      <c r="E230" s="32" t="s">
        <v>36</v>
      </c>
      <c r="F230" s="31">
        <v>766000</v>
      </c>
      <c r="G230" s="31">
        <f>ROUNDDOWN($D230*$F230,-3)</f>
        <v>38300000</v>
      </c>
      <c r="H230" s="31">
        <v>0</v>
      </c>
      <c r="I230" s="31">
        <f>SUMIF(dd_kuitansi[MAK],$A230,dd_kuitansi[Jumlah])</f>
        <v>0</v>
      </c>
      <c r="J230" s="31">
        <f>$G230-SUM($H230:$I230)</f>
        <v>38300000</v>
      </c>
    </row>
    <row r="231" spans="1:13" x14ac:dyDescent="0.25">
      <c r="A231" s="40" t="s">
        <v>504</v>
      </c>
      <c r="B231" s="17" t="s">
        <v>104</v>
      </c>
      <c r="C231" s="18" t="s">
        <v>105</v>
      </c>
      <c r="D231" s="19">
        <v>0</v>
      </c>
      <c r="E231" s="20" t="s">
        <v>1</v>
      </c>
      <c r="F231" s="19">
        <v>0</v>
      </c>
      <c r="G231" s="19">
        <f>G232</f>
        <v>600000</v>
      </c>
      <c r="H231" s="19">
        <f>H232</f>
        <v>0</v>
      </c>
      <c r="I231" s="19">
        <f>I232</f>
        <v>0</v>
      </c>
      <c r="J231" s="19">
        <f>J232</f>
        <v>600000</v>
      </c>
    </row>
    <row r="232" spans="1:13" x14ac:dyDescent="0.25">
      <c r="A232" s="40" t="s">
        <v>799</v>
      </c>
      <c r="B232" s="29" t="s">
        <v>1</v>
      </c>
      <c r="C232" s="30" t="s">
        <v>106</v>
      </c>
      <c r="D232" s="31">
        <v>4</v>
      </c>
      <c r="E232" s="32" t="s">
        <v>36</v>
      </c>
      <c r="F232" s="31">
        <v>150000</v>
      </c>
      <c r="G232" s="31">
        <f>ROUNDDOWN($D232*$F232,-3)</f>
        <v>600000</v>
      </c>
      <c r="H232" s="31">
        <v>0</v>
      </c>
      <c r="I232" s="31">
        <f>SUMIF(dd_kuitansi[MAK],$A232,dd_kuitansi[Jumlah])</f>
        <v>0</v>
      </c>
      <c r="J232" s="31">
        <f>$G232-SUM($H232:$I232)</f>
        <v>600000</v>
      </c>
    </row>
    <row r="233" spans="1:13" s="9" customFormat="1" x14ac:dyDescent="0.25">
      <c r="A233" s="39" t="s">
        <v>505</v>
      </c>
      <c r="B233" s="17" t="s">
        <v>54</v>
      </c>
      <c r="C233" s="18" t="s">
        <v>55</v>
      </c>
      <c r="D233" s="19">
        <v>0</v>
      </c>
      <c r="E233" s="20" t="s">
        <v>1</v>
      </c>
      <c r="F233" s="19">
        <v>0</v>
      </c>
      <c r="G233" s="19">
        <f>SUM(G234:G237)</f>
        <v>12500000</v>
      </c>
      <c r="H233" s="19">
        <f>SUM(H234:H237)</f>
        <v>0</v>
      </c>
      <c r="I233" s="19">
        <f>SUM(I234:I237)</f>
        <v>0</v>
      </c>
      <c r="J233" s="19">
        <f>SUM(J234:J237)</f>
        <v>12500000</v>
      </c>
      <c r="M233" s="184"/>
    </row>
    <row r="234" spans="1:13" x14ac:dyDescent="0.25">
      <c r="A234" s="40"/>
      <c r="B234" s="29" t="s">
        <v>1</v>
      </c>
      <c r="C234" s="33" t="s">
        <v>90</v>
      </c>
      <c r="D234" s="31">
        <v>0</v>
      </c>
      <c r="E234" s="32" t="s">
        <v>1</v>
      </c>
      <c r="F234" s="31">
        <v>0</v>
      </c>
      <c r="G234" s="31">
        <v>0</v>
      </c>
      <c r="H234" s="31">
        <v>0</v>
      </c>
      <c r="I234" s="31">
        <v>0</v>
      </c>
      <c r="J234" s="31">
        <v>0</v>
      </c>
    </row>
    <row r="235" spans="1:13" s="9" customFormat="1" x14ac:dyDescent="0.25">
      <c r="A235" s="39" t="s">
        <v>800</v>
      </c>
      <c r="B235" s="29" t="s">
        <v>1</v>
      </c>
      <c r="C235" s="30" t="s">
        <v>56</v>
      </c>
      <c r="D235" s="31">
        <v>5</v>
      </c>
      <c r="E235" s="32" t="s">
        <v>36</v>
      </c>
      <c r="F235" s="31">
        <v>300000</v>
      </c>
      <c r="G235" s="31">
        <f>ROUNDDOWN($D235*$F235,-3)</f>
        <v>1500000</v>
      </c>
      <c r="H235" s="31">
        <v>0</v>
      </c>
      <c r="I235" s="31">
        <f>SUMIF(dd_kuitansi[MAK],$A235,dd_kuitansi[Jumlah])</f>
        <v>0</v>
      </c>
      <c r="J235" s="31">
        <f>$G235-SUM($H235:$I235)</f>
        <v>1500000</v>
      </c>
      <c r="M235" s="184"/>
    </row>
    <row r="236" spans="1:13" x14ac:dyDescent="0.25">
      <c r="A236" s="40" t="s">
        <v>801</v>
      </c>
      <c r="B236" s="29" t="s">
        <v>1</v>
      </c>
      <c r="C236" s="30" t="s">
        <v>57</v>
      </c>
      <c r="D236" s="31">
        <v>40</v>
      </c>
      <c r="E236" s="32" t="s">
        <v>36</v>
      </c>
      <c r="F236" s="31">
        <v>250000</v>
      </c>
      <c r="G236" s="31">
        <f>ROUNDDOWN($D236*$F236,-3)</f>
        <v>10000000</v>
      </c>
      <c r="H236" s="31">
        <v>0</v>
      </c>
      <c r="I236" s="31">
        <f>SUMIF(dd_kuitansi[MAK],$A236,dd_kuitansi[Jumlah])</f>
        <v>0</v>
      </c>
      <c r="J236" s="31">
        <f>$G236-SUM($H236:$I236)</f>
        <v>10000000</v>
      </c>
    </row>
    <row r="237" spans="1:13" s="9" customFormat="1" x14ac:dyDescent="0.25">
      <c r="A237" s="39" t="s">
        <v>802</v>
      </c>
      <c r="B237" s="29" t="s">
        <v>1</v>
      </c>
      <c r="C237" s="30" t="s">
        <v>58</v>
      </c>
      <c r="D237" s="31">
        <v>5</v>
      </c>
      <c r="E237" s="32" t="s">
        <v>36</v>
      </c>
      <c r="F237" s="31">
        <v>200000</v>
      </c>
      <c r="G237" s="31">
        <f>ROUNDDOWN($D237*$F237,-3)</f>
        <v>1000000</v>
      </c>
      <c r="H237" s="31">
        <v>0</v>
      </c>
      <c r="I237" s="31">
        <f>SUMIF(dd_kuitansi[MAK],$A237,dd_kuitansi[Jumlah])</f>
        <v>0</v>
      </c>
      <c r="J237" s="31">
        <f>$G237-SUM($H237:$I237)</f>
        <v>1000000</v>
      </c>
      <c r="M237" s="184"/>
    </row>
    <row r="238" spans="1:13" x14ac:dyDescent="0.25">
      <c r="A238" s="40" t="s">
        <v>404</v>
      </c>
      <c r="B238" s="25" t="s">
        <v>117</v>
      </c>
      <c r="C238" s="26" t="s">
        <v>118</v>
      </c>
      <c r="D238" s="27">
        <v>0</v>
      </c>
      <c r="E238" s="28" t="s">
        <v>1</v>
      </c>
      <c r="F238" s="27">
        <v>0</v>
      </c>
      <c r="G238" s="27">
        <f>SUM(G239,G244,G246,G248,G250)</f>
        <v>114533000</v>
      </c>
      <c r="H238" s="27">
        <f>SUM(H239,H244,H246,H248,H250)</f>
        <v>0</v>
      </c>
      <c r="I238" s="27">
        <f>SUM(I239,I244,I246,I248,I250)</f>
        <v>0</v>
      </c>
      <c r="J238" s="27">
        <f>SUM(J239,J244,J246,J248,J250)</f>
        <v>114533000</v>
      </c>
    </row>
    <row r="239" spans="1:13" s="9" customFormat="1" x14ac:dyDescent="0.25">
      <c r="A239" s="39" t="s">
        <v>506</v>
      </c>
      <c r="B239" s="17" t="s">
        <v>33</v>
      </c>
      <c r="C239" s="18" t="s">
        <v>34</v>
      </c>
      <c r="D239" s="19">
        <v>0</v>
      </c>
      <c r="E239" s="20" t="s">
        <v>1</v>
      </c>
      <c r="F239" s="19">
        <v>0</v>
      </c>
      <c r="G239" s="19">
        <f>SUM(G240:G243)</f>
        <v>18900000</v>
      </c>
      <c r="H239" s="19">
        <f>SUM(H240:H243)</f>
        <v>0</v>
      </c>
      <c r="I239" s="19">
        <f>SUM(I240:I243)</f>
        <v>0</v>
      </c>
      <c r="J239" s="19">
        <f>SUM(J240:J243)</f>
        <v>18900000</v>
      </c>
      <c r="M239" s="184"/>
    </row>
    <row r="240" spans="1:13" x14ac:dyDescent="0.25">
      <c r="A240" s="40" t="s">
        <v>803</v>
      </c>
      <c r="B240" s="29" t="s">
        <v>1</v>
      </c>
      <c r="C240" s="30" t="s">
        <v>35</v>
      </c>
      <c r="D240" s="31">
        <v>100</v>
      </c>
      <c r="E240" s="32" t="s">
        <v>36</v>
      </c>
      <c r="F240" s="31">
        <v>69000</v>
      </c>
      <c r="G240" s="31">
        <f>ROUNDDOWN($D240*$F240,-3)</f>
        <v>6900000</v>
      </c>
      <c r="H240" s="31">
        <v>0</v>
      </c>
      <c r="I240" s="31">
        <f>SUMIF(dd_kuitansi[MAK],$A240,dd_kuitansi[Jumlah])</f>
        <v>0</v>
      </c>
      <c r="J240" s="31">
        <f>$G240-SUM($H240:$I240)</f>
        <v>6900000</v>
      </c>
    </row>
    <row r="241" spans="1:13" x14ac:dyDescent="0.25">
      <c r="A241" s="40" t="s">
        <v>804</v>
      </c>
      <c r="B241" s="29" t="s">
        <v>1</v>
      </c>
      <c r="C241" s="30" t="s">
        <v>45</v>
      </c>
      <c r="D241" s="31">
        <v>3</v>
      </c>
      <c r="E241" s="32" t="s">
        <v>16</v>
      </c>
      <c r="F241" s="31">
        <v>1000000</v>
      </c>
      <c r="G241" s="31">
        <f>ROUNDDOWN($D241*$F241,-3)</f>
        <v>3000000</v>
      </c>
      <c r="H241" s="31">
        <v>0</v>
      </c>
      <c r="I241" s="31">
        <f>SUMIF(dd_kuitansi[MAK],$A241,dd_kuitansi[Jumlah])</f>
        <v>0</v>
      </c>
      <c r="J241" s="31">
        <f>$G241-SUM($H241:$I241)</f>
        <v>3000000</v>
      </c>
    </row>
    <row r="242" spans="1:13" x14ac:dyDescent="0.25">
      <c r="A242" s="40" t="s">
        <v>805</v>
      </c>
      <c r="B242" s="29" t="s">
        <v>1</v>
      </c>
      <c r="C242" s="30" t="s">
        <v>88</v>
      </c>
      <c r="D242" s="31">
        <v>3</v>
      </c>
      <c r="E242" s="32" t="s">
        <v>16</v>
      </c>
      <c r="F242" s="31">
        <v>1500000</v>
      </c>
      <c r="G242" s="31">
        <f>ROUNDDOWN($D242*$F242,-3)</f>
        <v>4500000</v>
      </c>
      <c r="H242" s="31">
        <v>0</v>
      </c>
      <c r="I242" s="31">
        <f>SUMIF(dd_kuitansi[MAK],$A242,dd_kuitansi[Jumlah])</f>
        <v>0</v>
      </c>
      <c r="J242" s="31">
        <f>$G242-SUM($H242:$I242)</f>
        <v>4500000</v>
      </c>
    </row>
    <row r="243" spans="1:13" x14ac:dyDescent="0.25">
      <c r="A243" s="40" t="s">
        <v>806</v>
      </c>
      <c r="B243" s="29" t="s">
        <v>1</v>
      </c>
      <c r="C243" s="30" t="s">
        <v>37</v>
      </c>
      <c r="D243" s="31">
        <v>3</v>
      </c>
      <c r="E243" s="32" t="s">
        <v>16</v>
      </c>
      <c r="F243" s="31">
        <v>1500000</v>
      </c>
      <c r="G243" s="31">
        <f>ROUNDDOWN($D243*$F243,-3)</f>
        <v>4500000</v>
      </c>
      <c r="H243" s="31">
        <v>0</v>
      </c>
      <c r="I243" s="31">
        <f>SUMIF(dd_kuitansi[MAK],$A243,dd_kuitansi[Jumlah])</f>
        <v>0</v>
      </c>
      <c r="J243" s="31">
        <f>$G243-SUM($H243:$I243)</f>
        <v>4500000</v>
      </c>
    </row>
    <row r="244" spans="1:13" s="9" customFormat="1" x14ac:dyDescent="0.25">
      <c r="A244" s="39" t="s">
        <v>507</v>
      </c>
      <c r="B244" s="17" t="s">
        <v>46</v>
      </c>
      <c r="C244" s="18" t="s">
        <v>47</v>
      </c>
      <c r="D244" s="19">
        <v>0</v>
      </c>
      <c r="E244" s="20" t="s">
        <v>1</v>
      </c>
      <c r="F244" s="19">
        <v>0</v>
      </c>
      <c r="G244" s="19">
        <f>G245</f>
        <v>12000000</v>
      </c>
      <c r="H244" s="19">
        <f>H245</f>
        <v>0</v>
      </c>
      <c r="I244" s="19">
        <f>I245</f>
        <v>0</v>
      </c>
      <c r="J244" s="19">
        <f>J245</f>
        <v>12000000</v>
      </c>
      <c r="M244" s="184"/>
    </row>
    <row r="245" spans="1:13" s="9" customFormat="1" x14ac:dyDescent="0.25">
      <c r="A245" s="39" t="s">
        <v>807</v>
      </c>
      <c r="B245" s="29" t="s">
        <v>1</v>
      </c>
      <c r="C245" s="30" t="s">
        <v>48</v>
      </c>
      <c r="D245" s="31">
        <v>12</v>
      </c>
      <c r="E245" s="32" t="s">
        <v>49</v>
      </c>
      <c r="F245" s="31">
        <v>1000000</v>
      </c>
      <c r="G245" s="31">
        <f>ROUNDDOWN($D245*$F245,-3)</f>
        <v>12000000</v>
      </c>
      <c r="H245" s="31">
        <v>0</v>
      </c>
      <c r="I245" s="31">
        <f>SUMIF(dd_kuitansi[MAK],$A245,dd_kuitansi[Jumlah])</f>
        <v>0</v>
      </c>
      <c r="J245" s="31">
        <f>$G245-SUM($H245:$I245)</f>
        <v>12000000</v>
      </c>
      <c r="M245" s="184"/>
    </row>
    <row r="246" spans="1:13" x14ac:dyDescent="0.25">
      <c r="A246" s="40" t="s">
        <v>508</v>
      </c>
      <c r="B246" s="17" t="s">
        <v>50</v>
      </c>
      <c r="C246" s="18" t="s">
        <v>51</v>
      </c>
      <c r="D246" s="19">
        <v>0</v>
      </c>
      <c r="E246" s="20" t="s">
        <v>1</v>
      </c>
      <c r="F246" s="19">
        <v>0</v>
      </c>
      <c r="G246" s="19">
        <f>G247</f>
        <v>57433000</v>
      </c>
      <c r="H246" s="19">
        <f>H247</f>
        <v>0</v>
      </c>
      <c r="I246" s="19">
        <f>I247</f>
        <v>0</v>
      </c>
      <c r="J246" s="19">
        <f>J247</f>
        <v>57433000</v>
      </c>
    </row>
    <row r="247" spans="1:13" x14ac:dyDescent="0.25">
      <c r="A247" s="40" t="s">
        <v>808</v>
      </c>
      <c r="B247" s="29" t="s">
        <v>1</v>
      </c>
      <c r="C247" s="30" t="s">
        <v>119</v>
      </c>
      <c r="D247" s="31">
        <v>10</v>
      </c>
      <c r="E247" s="32" t="s">
        <v>36</v>
      </c>
      <c r="F247" s="31">
        <v>5743300</v>
      </c>
      <c r="G247" s="31">
        <f>ROUNDDOWN($D247*$F247,-3)</f>
        <v>57433000</v>
      </c>
      <c r="H247" s="31">
        <v>0</v>
      </c>
      <c r="I247" s="31">
        <f>SUMIF(dd_kuitansi[MAK],$A247,dd_kuitansi[Jumlah])</f>
        <v>0</v>
      </c>
      <c r="J247" s="31">
        <f>$G247-SUM($H247:$I247)</f>
        <v>57433000</v>
      </c>
    </row>
    <row r="248" spans="1:13" x14ac:dyDescent="0.25">
      <c r="A248" s="40" t="s">
        <v>509</v>
      </c>
      <c r="B248" s="17" t="s">
        <v>104</v>
      </c>
      <c r="C248" s="18" t="s">
        <v>105</v>
      </c>
      <c r="D248" s="19">
        <v>0</v>
      </c>
      <c r="E248" s="20" t="s">
        <v>1</v>
      </c>
      <c r="F248" s="19">
        <v>0</v>
      </c>
      <c r="G248" s="19">
        <f>G249</f>
        <v>1200000</v>
      </c>
      <c r="H248" s="19">
        <f>H249</f>
        <v>0</v>
      </c>
      <c r="I248" s="19">
        <f>I249</f>
        <v>0</v>
      </c>
      <c r="J248" s="19">
        <f>J249</f>
        <v>1200000</v>
      </c>
    </row>
    <row r="249" spans="1:13" x14ac:dyDescent="0.25">
      <c r="A249" s="40" t="s">
        <v>809</v>
      </c>
      <c r="B249" s="29" t="s">
        <v>1</v>
      </c>
      <c r="C249" s="30" t="s">
        <v>106</v>
      </c>
      <c r="D249" s="31">
        <v>8</v>
      </c>
      <c r="E249" s="32" t="s">
        <v>36</v>
      </c>
      <c r="F249" s="31">
        <v>150000</v>
      </c>
      <c r="G249" s="31">
        <f>ROUNDDOWN($D249*$F249,-3)</f>
        <v>1200000</v>
      </c>
      <c r="H249" s="31">
        <v>0</v>
      </c>
      <c r="I249" s="31">
        <f>SUMIF(dd_kuitansi[MAK],$A249,dd_kuitansi[Jumlah])</f>
        <v>0</v>
      </c>
      <c r="J249" s="31">
        <f>$G249-SUM($H249:$I249)</f>
        <v>1200000</v>
      </c>
    </row>
    <row r="250" spans="1:13" s="9" customFormat="1" x14ac:dyDescent="0.25">
      <c r="A250" s="39" t="s">
        <v>510</v>
      </c>
      <c r="B250" s="17" t="s">
        <v>54</v>
      </c>
      <c r="C250" s="18" t="s">
        <v>55</v>
      </c>
      <c r="D250" s="19">
        <v>0</v>
      </c>
      <c r="E250" s="20" t="s">
        <v>1</v>
      </c>
      <c r="F250" s="19">
        <v>0</v>
      </c>
      <c r="G250" s="19">
        <f>G251</f>
        <v>25000000</v>
      </c>
      <c r="H250" s="19">
        <f>H251</f>
        <v>0</v>
      </c>
      <c r="I250" s="19">
        <f>I251</f>
        <v>0</v>
      </c>
      <c r="J250" s="19">
        <f>J251</f>
        <v>25000000</v>
      </c>
      <c r="M250" s="184"/>
    </row>
    <row r="251" spans="1:13" x14ac:dyDescent="0.25">
      <c r="A251" s="40"/>
      <c r="B251" s="29" t="s">
        <v>1</v>
      </c>
      <c r="C251" s="33" t="s">
        <v>90</v>
      </c>
      <c r="D251" s="31">
        <v>0</v>
      </c>
      <c r="E251" s="32" t="s">
        <v>1</v>
      </c>
      <c r="F251" s="31">
        <v>0</v>
      </c>
      <c r="G251" s="31">
        <f>SUM(G252:G254)</f>
        <v>25000000</v>
      </c>
      <c r="H251" s="31">
        <f>SUM(H252:H254)</f>
        <v>0</v>
      </c>
      <c r="I251" s="31">
        <f>SUM(I252:I254)</f>
        <v>0</v>
      </c>
      <c r="J251" s="31">
        <f>SUM(J252:J254)</f>
        <v>25000000</v>
      </c>
    </row>
    <row r="252" spans="1:13" s="9" customFormat="1" x14ac:dyDescent="0.25">
      <c r="A252" s="39" t="s">
        <v>810</v>
      </c>
      <c r="B252" s="29" t="s">
        <v>1</v>
      </c>
      <c r="C252" s="30" t="s">
        <v>56</v>
      </c>
      <c r="D252" s="31">
        <v>15</v>
      </c>
      <c r="E252" s="32" t="s">
        <v>36</v>
      </c>
      <c r="F252" s="31">
        <v>300000</v>
      </c>
      <c r="G252" s="31">
        <f>ROUNDDOWN($D252*$F252,-3)</f>
        <v>4500000</v>
      </c>
      <c r="H252" s="31">
        <v>0</v>
      </c>
      <c r="I252" s="31">
        <f>SUMIF(dd_kuitansi[MAK],$A252,dd_kuitansi[Jumlah])</f>
        <v>0</v>
      </c>
      <c r="J252" s="31">
        <f>$G252-SUM($H252:$I252)</f>
        <v>4500000</v>
      </c>
      <c r="M252" s="184"/>
    </row>
    <row r="253" spans="1:13" x14ac:dyDescent="0.25">
      <c r="A253" s="40" t="s">
        <v>811</v>
      </c>
      <c r="B253" s="29" t="s">
        <v>1</v>
      </c>
      <c r="C253" s="30" t="s">
        <v>57</v>
      </c>
      <c r="D253" s="31">
        <v>70</v>
      </c>
      <c r="E253" s="32" t="s">
        <v>36</v>
      </c>
      <c r="F253" s="31">
        <v>250000</v>
      </c>
      <c r="G253" s="31">
        <f>ROUNDDOWN($D253*$F253,-3)</f>
        <v>17500000</v>
      </c>
      <c r="H253" s="31">
        <v>0</v>
      </c>
      <c r="I253" s="31">
        <f>SUMIF(dd_kuitansi[MAK],$A253,dd_kuitansi[Jumlah])</f>
        <v>0</v>
      </c>
      <c r="J253" s="31">
        <f>$G253-SUM($H253:$I253)</f>
        <v>17500000</v>
      </c>
    </row>
    <row r="254" spans="1:13" s="9" customFormat="1" x14ac:dyDescent="0.25">
      <c r="A254" s="39" t="s">
        <v>812</v>
      </c>
      <c r="B254" s="29" t="s">
        <v>1</v>
      </c>
      <c r="C254" s="30" t="s">
        <v>58</v>
      </c>
      <c r="D254" s="31">
        <v>15</v>
      </c>
      <c r="E254" s="32" t="s">
        <v>36</v>
      </c>
      <c r="F254" s="31">
        <v>200000</v>
      </c>
      <c r="G254" s="31">
        <f>ROUNDDOWN($D254*$F254,-3)</f>
        <v>3000000</v>
      </c>
      <c r="H254" s="31">
        <v>0</v>
      </c>
      <c r="I254" s="31">
        <f>SUMIF(dd_kuitansi[MAK],$A254,dd_kuitansi[Jumlah])</f>
        <v>0</v>
      </c>
      <c r="J254" s="31">
        <f>$G254-SUM($H254:$I254)</f>
        <v>3000000</v>
      </c>
      <c r="M254" s="184"/>
    </row>
    <row r="255" spans="1:13" x14ac:dyDescent="0.25">
      <c r="A255" s="40" t="s">
        <v>382</v>
      </c>
      <c r="B255" s="21" t="s">
        <v>120</v>
      </c>
      <c r="C255" s="22" t="s">
        <v>121</v>
      </c>
      <c r="D255" s="23">
        <v>0</v>
      </c>
      <c r="E255" s="24" t="s">
        <v>1</v>
      </c>
      <c r="F255" s="23">
        <v>0</v>
      </c>
      <c r="G255" s="23">
        <f>SUM(G256,G273,G283,G296,G309,G320,G338,G358)</f>
        <v>1876045000</v>
      </c>
      <c r="H255" s="23">
        <f>SUM(H256,H273,H283,H296,H309,H320,H338,H358)</f>
        <v>0</v>
      </c>
      <c r="I255" s="23">
        <f>SUM(I256,I273,I283,I296,I309,I320,I338,I358)</f>
        <v>0</v>
      </c>
      <c r="J255" s="23">
        <f>SUM(J256,J273,J283,J296,J309,J320,J338,J358)</f>
        <v>1876045000</v>
      </c>
    </row>
    <row r="256" spans="1:13" s="9" customFormat="1" ht="25.5" x14ac:dyDescent="0.25">
      <c r="A256" s="39" t="s">
        <v>405</v>
      </c>
      <c r="B256" s="25" t="s">
        <v>11</v>
      </c>
      <c r="C256" s="26" t="s">
        <v>122</v>
      </c>
      <c r="D256" s="27">
        <v>0</v>
      </c>
      <c r="E256" s="28" t="s">
        <v>1</v>
      </c>
      <c r="F256" s="27">
        <v>0</v>
      </c>
      <c r="G256" s="27">
        <f>SUM(G257,G262,G264,G266,G268)</f>
        <v>385831000</v>
      </c>
      <c r="H256" s="27">
        <f>SUM(H257,H262,H264,H266,H268)</f>
        <v>0</v>
      </c>
      <c r="I256" s="27">
        <f>SUM(I257,I262,I264,I266,I268)</f>
        <v>0</v>
      </c>
      <c r="J256" s="27">
        <f>SUM(J257,J262,J264,J266,J268)</f>
        <v>385831000</v>
      </c>
      <c r="M256" s="184"/>
    </row>
    <row r="257" spans="1:13" x14ac:dyDescent="0.25">
      <c r="A257" s="40" t="s">
        <v>511</v>
      </c>
      <c r="B257" s="17" t="s">
        <v>33</v>
      </c>
      <c r="C257" s="18" t="s">
        <v>34</v>
      </c>
      <c r="D257" s="19">
        <v>0</v>
      </c>
      <c r="E257" s="20" t="s">
        <v>1</v>
      </c>
      <c r="F257" s="19">
        <v>0</v>
      </c>
      <c r="G257" s="19">
        <f>SUM(G258:G261)</f>
        <v>24250000</v>
      </c>
      <c r="H257" s="19">
        <f>SUM(H258:H261)</f>
        <v>0</v>
      </c>
      <c r="I257" s="19">
        <f>SUM(I258:I261)</f>
        <v>0</v>
      </c>
      <c r="J257" s="19">
        <f>SUM(J258:J261)</f>
        <v>24250000</v>
      </c>
    </row>
    <row r="258" spans="1:13" x14ac:dyDescent="0.25">
      <c r="A258" s="40" t="s">
        <v>813</v>
      </c>
      <c r="B258" s="29" t="s">
        <v>1</v>
      </c>
      <c r="C258" s="30" t="s">
        <v>35</v>
      </c>
      <c r="D258" s="31">
        <v>250</v>
      </c>
      <c r="E258" s="32" t="s">
        <v>36</v>
      </c>
      <c r="F258" s="31">
        <v>69000</v>
      </c>
      <c r="G258" s="31">
        <f>ROUNDDOWN($D258*$F258,-3)</f>
        <v>17250000</v>
      </c>
      <c r="H258" s="31">
        <v>0</v>
      </c>
      <c r="I258" s="31">
        <f>SUMIF(dd_kuitansi[MAK],$A258,dd_kuitansi[Jumlah])</f>
        <v>0</v>
      </c>
      <c r="J258" s="31">
        <f>$G258-SUM($H258:$I258)</f>
        <v>17250000</v>
      </c>
    </row>
    <row r="259" spans="1:13" x14ac:dyDescent="0.25">
      <c r="A259" s="40" t="s">
        <v>814</v>
      </c>
      <c r="B259" s="29" t="s">
        <v>1</v>
      </c>
      <c r="C259" s="30" t="s">
        <v>37</v>
      </c>
      <c r="D259" s="31">
        <v>2</v>
      </c>
      <c r="E259" s="32" t="s">
        <v>16</v>
      </c>
      <c r="F259" s="31">
        <v>1000000</v>
      </c>
      <c r="G259" s="31">
        <f>ROUNDDOWN($D259*$F259,-3)</f>
        <v>2000000</v>
      </c>
      <c r="H259" s="31">
        <v>0</v>
      </c>
      <c r="I259" s="31">
        <f>SUMIF(dd_kuitansi[MAK],$A259,dd_kuitansi[Jumlah])</f>
        <v>0</v>
      </c>
      <c r="J259" s="31">
        <f>$G259-SUM($H259:$I259)</f>
        <v>2000000</v>
      </c>
    </row>
    <row r="260" spans="1:13" x14ac:dyDescent="0.25">
      <c r="A260" s="40" t="s">
        <v>815</v>
      </c>
      <c r="B260" s="29" t="s">
        <v>1</v>
      </c>
      <c r="C260" s="30" t="s">
        <v>45</v>
      </c>
      <c r="D260" s="31">
        <v>2</v>
      </c>
      <c r="E260" s="32" t="s">
        <v>16</v>
      </c>
      <c r="F260" s="31">
        <v>1000000</v>
      </c>
      <c r="G260" s="31">
        <f>ROUNDDOWN($D260*$F260,-3)</f>
        <v>2000000</v>
      </c>
      <c r="H260" s="31">
        <v>0</v>
      </c>
      <c r="I260" s="31">
        <f>SUMIF(dd_kuitansi[MAK],$A260,dd_kuitansi[Jumlah])</f>
        <v>0</v>
      </c>
      <c r="J260" s="31">
        <f>$G260-SUM($H260:$I260)</f>
        <v>2000000</v>
      </c>
    </row>
    <row r="261" spans="1:13" s="9" customFormat="1" x14ac:dyDescent="0.25">
      <c r="A261" s="39" t="s">
        <v>816</v>
      </c>
      <c r="B261" s="29" t="s">
        <v>1</v>
      </c>
      <c r="C261" s="30" t="s">
        <v>43</v>
      </c>
      <c r="D261" s="31">
        <v>2</v>
      </c>
      <c r="E261" s="32" t="s">
        <v>16</v>
      </c>
      <c r="F261" s="31">
        <v>1500000</v>
      </c>
      <c r="G261" s="31">
        <f>ROUNDDOWN($D261*$F261,-3)</f>
        <v>3000000</v>
      </c>
      <c r="H261" s="31">
        <v>0</v>
      </c>
      <c r="I261" s="31">
        <f>SUMIF(dd_kuitansi[MAK],$A261,dd_kuitansi[Jumlah])</f>
        <v>0</v>
      </c>
      <c r="J261" s="31">
        <f>$G261-SUM($H261:$I261)</f>
        <v>3000000</v>
      </c>
      <c r="M261" s="184"/>
    </row>
    <row r="262" spans="1:13" s="9" customFormat="1" x14ac:dyDescent="0.25">
      <c r="A262" s="39" t="s">
        <v>512</v>
      </c>
      <c r="B262" s="17" t="s">
        <v>38</v>
      </c>
      <c r="C262" s="18" t="s">
        <v>39</v>
      </c>
      <c r="D262" s="19">
        <v>0</v>
      </c>
      <c r="E262" s="20" t="s">
        <v>1</v>
      </c>
      <c r="F262" s="19">
        <v>0</v>
      </c>
      <c r="G262" s="19">
        <f>G263</f>
        <v>19581000</v>
      </c>
      <c r="H262" s="19">
        <f>H263</f>
        <v>0</v>
      </c>
      <c r="I262" s="19">
        <f>I263</f>
        <v>0</v>
      </c>
      <c r="J262" s="19">
        <f>J263</f>
        <v>19581000</v>
      </c>
      <c r="M262" s="184"/>
    </row>
    <row r="263" spans="1:13" s="9" customFormat="1" x14ac:dyDescent="0.25">
      <c r="A263" s="39" t="s">
        <v>817</v>
      </c>
      <c r="B263" s="29" t="s">
        <v>1</v>
      </c>
      <c r="C263" s="30" t="s">
        <v>123</v>
      </c>
      <c r="D263" s="31">
        <v>1</v>
      </c>
      <c r="E263" s="32" t="s">
        <v>16</v>
      </c>
      <c r="F263" s="31">
        <v>19581000</v>
      </c>
      <c r="G263" s="31">
        <f>ROUNDDOWN($D263*$F263,-3)</f>
        <v>19581000</v>
      </c>
      <c r="H263" s="31">
        <v>0</v>
      </c>
      <c r="I263" s="31">
        <f>SUMIF(dd_kuitansi[MAK],$A263,dd_kuitansi[Jumlah])</f>
        <v>0</v>
      </c>
      <c r="J263" s="31">
        <f>$G263-SUM($H263:$I263)</f>
        <v>19581000</v>
      </c>
      <c r="M263" s="184"/>
    </row>
    <row r="264" spans="1:13" x14ac:dyDescent="0.25">
      <c r="A264" s="40" t="s">
        <v>513</v>
      </c>
      <c r="B264" s="17" t="s">
        <v>46</v>
      </c>
      <c r="C264" s="18" t="s">
        <v>47</v>
      </c>
      <c r="D264" s="19">
        <v>0</v>
      </c>
      <c r="E264" s="20" t="s">
        <v>1</v>
      </c>
      <c r="F264" s="19">
        <v>0</v>
      </c>
      <c r="G264" s="19">
        <f>G265</f>
        <v>72000000</v>
      </c>
      <c r="H264" s="19">
        <f>H265</f>
        <v>0</v>
      </c>
      <c r="I264" s="19">
        <f>I265</f>
        <v>0</v>
      </c>
      <c r="J264" s="19">
        <f>J265</f>
        <v>72000000</v>
      </c>
    </row>
    <row r="265" spans="1:13" x14ac:dyDescent="0.25">
      <c r="A265" s="40" t="s">
        <v>818</v>
      </c>
      <c r="B265" s="29" t="s">
        <v>1</v>
      </c>
      <c r="C265" s="30" t="s">
        <v>124</v>
      </c>
      <c r="D265" s="31">
        <v>72</v>
      </c>
      <c r="E265" s="32" t="s">
        <v>49</v>
      </c>
      <c r="F265" s="31">
        <v>1000000</v>
      </c>
      <c r="G265" s="31">
        <f>ROUNDDOWN($D265*$F265,-3)</f>
        <v>72000000</v>
      </c>
      <c r="H265" s="31">
        <v>0</v>
      </c>
      <c r="I265" s="31">
        <f>SUMIF(dd_kuitansi[MAK],$A265,dd_kuitansi[Jumlah])</f>
        <v>0</v>
      </c>
      <c r="J265" s="31">
        <f>$G265-SUM($H265:$I265)</f>
        <v>72000000</v>
      </c>
    </row>
    <row r="266" spans="1:13" x14ac:dyDescent="0.25">
      <c r="A266" s="40" t="s">
        <v>514</v>
      </c>
      <c r="B266" s="17" t="s">
        <v>50</v>
      </c>
      <c r="C266" s="18" t="s">
        <v>51</v>
      </c>
      <c r="D266" s="19">
        <v>0</v>
      </c>
      <c r="E266" s="20" t="s">
        <v>1</v>
      </c>
      <c r="F266" s="19">
        <v>0</v>
      </c>
      <c r="G266" s="19">
        <f>G267</f>
        <v>200000000</v>
      </c>
      <c r="H266" s="19">
        <f>H267</f>
        <v>0</v>
      </c>
      <c r="I266" s="19">
        <f>I267</f>
        <v>0</v>
      </c>
      <c r="J266" s="19">
        <f>J267</f>
        <v>200000000</v>
      </c>
    </row>
    <row r="267" spans="1:13" ht="25.5" x14ac:dyDescent="0.25">
      <c r="A267" s="40" t="s">
        <v>819</v>
      </c>
      <c r="B267" s="29" t="s">
        <v>1</v>
      </c>
      <c r="C267" s="30" t="s">
        <v>125</v>
      </c>
      <c r="D267" s="31">
        <v>25</v>
      </c>
      <c r="E267" s="32" t="s">
        <v>36</v>
      </c>
      <c r="F267" s="31">
        <v>8000000</v>
      </c>
      <c r="G267" s="31">
        <f>ROUNDDOWN($D267*$F267,-3)</f>
        <v>200000000</v>
      </c>
      <c r="H267" s="31">
        <v>0</v>
      </c>
      <c r="I267" s="31">
        <f>SUMIF(dd_kuitansi[MAK],$A267,dd_kuitansi[Jumlah])</f>
        <v>0</v>
      </c>
      <c r="J267" s="31">
        <f>$G267-SUM($H267:$I267)</f>
        <v>200000000</v>
      </c>
    </row>
    <row r="268" spans="1:13" s="9" customFormat="1" x14ac:dyDescent="0.25">
      <c r="A268" s="39" t="s">
        <v>515</v>
      </c>
      <c r="B268" s="17" t="s">
        <v>54</v>
      </c>
      <c r="C268" s="18" t="s">
        <v>55</v>
      </c>
      <c r="D268" s="19">
        <v>0</v>
      </c>
      <c r="E268" s="20" t="s">
        <v>1</v>
      </c>
      <c r="F268" s="19">
        <v>0</v>
      </c>
      <c r="G268" s="19">
        <f>G269</f>
        <v>70000000</v>
      </c>
      <c r="H268" s="19">
        <f>H269</f>
        <v>0</v>
      </c>
      <c r="I268" s="19">
        <f>I269</f>
        <v>0</v>
      </c>
      <c r="J268" s="19">
        <f>J269</f>
        <v>70000000</v>
      </c>
      <c r="M268" s="184"/>
    </row>
    <row r="269" spans="1:13" x14ac:dyDescent="0.25">
      <c r="A269" s="40"/>
      <c r="B269" s="29" t="s">
        <v>1</v>
      </c>
      <c r="C269" s="33" t="s">
        <v>90</v>
      </c>
      <c r="D269" s="31">
        <v>0</v>
      </c>
      <c r="E269" s="32" t="s">
        <v>1</v>
      </c>
      <c r="F269" s="31">
        <v>0</v>
      </c>
      <c r="G269" s="31">
        <f>SUM(G270:G272)</f>
        <v>70000000</v>
      </c>
      <c r="H269" s="31">
        <f>SUM(H270:H272)</f>
        <v>0</v>
      </c>
      <c r="I269" s="31">
        <f>SUM(I270:I272)</f>
        <v>0</v>
      </c>
      <c r="J269" s="31">
        <f>SUM(J270:J272)</f>
        <v>70000000</v>
      </c>
    </row>
    <row r="270" spans="1:13" s="9" customFormat="1" x14ac:dyDescent="0.25">
      <c r="A270" s="39" t="s">
        <v>820</v>
      </c>
      <c r="B270" s="29" t="s">
        <v>1</v>
      </c>
      <c r="C270" s="30" t="s">
        <v>56</v>
      </c>
      <c r="D270" s="31">
        <v>20</v>
      </c>
      <c r="E270" s="32" t="s">
        <v>36</v>
      </c>
      <c r="F270" s="31">
        <v>300000</v>
      </c>
      <c r="G270" s="31">
        <f>ROUNDDOWN($D270*$F270,-3)</f>
        <v>6000000</v>
      </c>
      <c r="H270" s="31">
        <v>0</v>
      </c>
      <c r="I270" s="31">
        <f>SUMIF(dd_kuitansi[MAK],$A270,dd_kuitansi[Jumlah])</f>
        <v>0</v>
      </c>
      <c r="J270" s="31">
        <f>$G270-SUM($H270:$I270)</f>
        <v>6000000</v>
      </c>
      <c r="M270" s="184"/>
    </row>
    <row r="271" spans="1:13" x14ac:dyDescent="0.25">
      <c r="A271" s="40" t="s">
        <v>821</v>
      </c>
      <c r="B271" s="29" t="s">
        <v>1</v>
      </c>
      <c r="C271" s="30" t="s">
        <v>57</v>
      </c>
      <c r="D271" s="31">
        <v>240</v>
      </c>
      <c r="E271" s="32" t="s">
        <v>36</v>
      </c>
      <c r="F271" s="31">
        <v>250000</v>
      </c>
      <c r="G271" s="31">
        <f>ROUNDDOWN($D271*$F271,-3)</f>
        <v>60000000</v>
      </c>
      <c r="H271" s="31">
        <v>0</v>
      </c>
      <c r="I271" s="31">
        <f>SUMIF(dd_kuitansi[MAK],$A271,dd_kuitansi[Jumlah])</f>
        <v>0</v>
      </c>
      <c r="J271" s="31">
        <f>$G271-SUM($H271:$I271)</f>
        <v>60000000</v>
      </c>
    </row>
    <row r="272" spans="1:13" s="9" customFormat="1" x14ac:dyDescent="0.25">
      <c r="A272" s="39" t="s">
        <v>822</v>
      </c>
      <c r="B272" s="29" t="s">
        <v>1</v>
      </c>
      <c r="C272" s="30" t="s">
        <v>58</v>
      </c>
      <c r="D272" s="31">
        <v>20</v>
      </c>
      <c r="E272" s="32" t="s">
        <v>36</v>
      </c>
      <c r="F272" s="31">
        <v>200000</v>
      </c>
      <c r="G272" s="31">
        <f>ROUNDDOWN($D272*$F272,-3)</f>
        <v>4000000</v>
      </c>
      <c r="H272" s="31">
        <v>0</v>
      </c>
      <c r="I272" s="31">
        <f>SUMIF(dd_kuitansi[MAK],$A272,dd_kuitansi[Jumlah])</f>
        <v>0</v>
      </c>
      <c r="J272" s="31">
        <f>$G272-SUM($H272:$I272)</f>
        <v>4000000</v>
      </c>
      <c r="M272" s="184"/>
    </row>
    <row r="273" spans="1:13" x14ac:dyDescent="0.25">
      <c r="A273" s="40" t="s">
        <v>406</v>
      </c>
      <c r="B273" s="25" t="s">
        <v>17</v>
      </c>
      <c r="C273" s="26" t="s">
        <v>126</v>
      </c>
      <c r="D273" s="27">
        <v>0</v>
      </c>
      <c r="E273" s="28" t="s">
        <v>1</v>
      </c>
      <c r="F273" s="27">
        <v>0</v>
      </c>
      <c r="G273" s="27">
        <f>SUM(G274,G279)</f>
        <v>28959000</v>
      </c>
      <c r="H273" s="27">
        <f>SUM(H274,H279)</f>
        <v>0</v>
      </c>
      <c r="I273" s="27">
        <f>SUM(I274,I279)</f>
        <v>0</v>
      </c>
      <c r="J273" s="27">
        <f>SUM(J274,J279)</f>
        <v>28959000</v>
      </c>
    </row>
    <row r="274" spans="1:13" s="9" customFormat="1" x14ac:dyDescent="0.25">
      <c r="A274" s="39" t="s">
        <v>516</v>
      </c>
      <c r="B274" s="17" t="s">
        <v>33</v>
      </c>
      <c r="C274" s="18" t="s">
        <v>34</v>
      </c>
      <c r="D274" s="19">
        <v>0</v>
      </c>
      <c r="E274" s="20" t="s">
        <v>1</v>
      </c>
      <c r="F274" s="19">
        <v>0</v>
      </c>
      <c r="G274" s="19">
        <f>SUM(G275:G278)</f>
        <v>7709000</v>
      </c>
      <c r="H274" s="19">
        <f>SUM(H275:H278)</f>
        <v>0</v>
      </c>
      <c r="I274" s="19">
        <f>SUM(I275:I278)</f>
        <v>0</v>
      </c>
      <c r="J274" s="19">
        <f>SUM(J275:J278)</f>
        <v>7709000</v>
      </c>
      <c r="M274" s="184"/>
    </row>
    <row r="275" spans="1:13" x14ac:dyDescent="0.25">
      <c r="A275" s="40" t="s">
        <v>823</v>
      </c>
      <c r="B275" s="29" t="s">
        <v>1</v>
      </c>
      <c r="C275" s="30" t="s">
        <v>35</v>
      </c>
      <c r="D275" s="31">
        <v>61</v>
      </c>
      <c r="E275" s="32" t="s">
        <v>36</v>
      </c>
      <c r="F275" s="31">
        <v>69000</v>
      </c>
      <c r="G275" s="31">
        <f>ROUNDDOWN($D275*$F275,-3)</f>
        <v>4209000</v>
      </c>
      <c r="H275" s="31">
        <v>0</v>
      </c>
      <c r="I275" s="31">
        <f>SUMIF(dd_kuitansi[MAK],$A275,dd_kuitansi[Jumlah])</f>
        <v>0</v>
      </c>
      <c r="J275" s="31">
        <f>$G275-SUM($H275:$I275)</f>
        <v>4209000</v>
      </c>
    </row>
    <row r="276" spans="1:13" x14ac:dyDescent="0.25">
      <c r="A276" s="40" t="s">
        <v>824</v>
      </c>
      <c r="B276" s="29" t="s">
        <v>1</v>
      </c>
      <c r="C276" s="30" t="s">
        <v>37</v>
      </c>
      <c r="D276" s="31">
        <v>1</v>
      </c>
      <c r="E276" s="32" t="s">
        <v>16</v>
      </c>
      <c r="F276" s="31">
        <v>1000000</v>
      </c>
      <c r="G276" s="31">
        <f>ROUNDDOWN($D276*$F276,-3)</f>
        <v>1000000</v>
      </c>
      <c r="H276" s="31">
        <v>0</v>
      </c>
      <c r="I276" s="31">
        <f>SUMIF(dd_kuitansi[MAK],$A276,dd_kuitansi[Jumlah])</f>
        <v>0</v>
      </c>
      <c r="J276" s="31">
        <f>$G276-SUM($H276:$I276)</f>
        <v>1000000</v>
      </c>
    </row>
    <row r="277" spans="1:13" x14ac:dyDescent="0.25">
      <c r="A277" s="40" t="s">
        <v>825</v>
      </c>
      <c r="B277" s="29" t="s">
        <v>1</v>
      </c>
      <c r="C277" s="30" t="s">
        <v>45</v>
      </c>
      <c r="D277" s="31">
        <v>1</v>
      </c>
      <c r="E277" s="32" t="s">
        <v>16</v>
      </c>
      <c r="F277" s="31">
        <v>1000000</v>
      </c>
      <c r="G277" s="31">
        <f>ROUNDDOWN($D277*$F277,-3)</f>
        <v>1000000</v>
      </c>
      <c r="H277" s="31">
        <v>0</v>
      </c>
      <c r="I277" s="31">
        <f>SUMIF(dd_kuitansi[MAK],$A277,dd_kuitansi[Jumlah])</f>
        <v>0</v>
      </c>
      <c r="J277" s="31">
        <f>$G277-SUM($H277:$I277)</f>
        <v>1000000</v>
      </c>
    </row>
    <row r="278" spans="1:13" x14ac:dyDescent="0.25">
      <c r="A278" s="40" t="s">
        <v>826</v>
      </c>
      <c r="B278" s="29" t="s">
        <v>1</v>
      </c>
      <c r="C278" s="30" t="s">
        <v>43</v>
      </c>
      <c r="D278" s="31">
        <v>1</v>
      </c>
      <c r="E278" s="32" t="s">
        <v>16</v>
      </c>
      <c r="F278" s="31">
        <v>1500000</v>
      </c>
      <c r="G278" s="31">
        <f>ROUNDDOWN($D278*$F278,-3)</f>
        <v>1500000</v>
      </c>
      <c r="H278" s="31">
        <v>0</v>
      </c>
      <c r="I278" s="31">
        <f>SUMIF(dd_kuitansi[MAK],$A278,dd_kuitansi[Jumlah])</f>
        <v>0</v>
      </c>
      <c r="J278" s="31">
        <f>$G278-SUM($H278:$I278)</f>
        <v>1500000</v>
      </c>
    </row>
    <row r="279" spans="1:13" s="9" customFormat="1" x14ac:dyDescent="0.25">
      <c r="A279" s="39" t="s">
        <v>517</v>
      </c>
      <c r="B279" s="17" t="s">
        <v>54</v>
      </c>
      <c r="C279" s="18" t="s">
        <v>55</v>
      </c>
      <c r="D279" s="19">
        <v>0</v>
      </c>
      <c r="E279" s="20" t="s">
        <v>1</v>
      </c>
      <c r="F279" s="19">
        <v>0</v>
      </c>
      <c r="G279" s="31">
        <f>SUM(G280:G282)</f>
        <v>21250000</v>
      </c>
      <c r="H279" s="31">
        <f>SUM(H280:H282)</f>
        <v>0</v>
      </c>
      <c r="I279" s="31">
        <f>SUM(I280:I282)</f>
        <v>0</v>
      </c>
      <c r="J279" s="31">
        <f>SUM(J280:J282)</f>
        <v>21250000</v>
      </c>
      <c r="M279" s="184"/>
    </row>
    <row r="280" spans="1:13" s="9" customFormat="1" x14ac:dyDescent="0.25">
      <c r="A280" s="39" t="s">
        <v>827</v>
      </c>
      <c r="B280" s="29" t="s">
        <v>1</v>
      </c>
      <c r="C280" s="30" t="s">
        <v>56</v>
      </c>
      <c r="D280" s="31">
        <v>10</v>
      </c>
      <c r="E280" s="32" t="s">
        <v>36</v>
      </c>
      <c r="F280" s="31">
        <v>300000</v>
      </c>
      <c r="G280" s="31">
        <f>ROUNDDOWN($D280*$F280,-3)</f>
        <v>3000000</v>
      </c>
      <c r="H280" s="31">
        <v>0</v>
      </c>
      <c r="I280" s="31">
        <f>SUMIF(dd_kuitansi[MAK],$A280,dd_kuitansi[Jumlah])</f>
        <v>0</v>
      </c>
      <c r="J280" s="31">
        <f>$G280-SUM($H280:$I280)</f>
        <v>3000000</v>
      </c>
      <c r="M280" s="184"/>
    </row>
    <row r="281" spans="1:13" x14ac:dyDescent="0.25">
      <c r="A281" s="40" t="s">
        <v>828</v>
      </c>
      <c r="B281" s="29" t="s">
        <v>1</v>
      </c>
      <c r="C281" s="30" t="s">
        <v>57</v>
      </c>
      <c r="D281" s="31">
        <v>69</v>
      </c>
      <c r="E281" s="32" t="s">
        <v>36</v>
      </c>
      <c r="F281" s="31">
        <v>250000</v>
      </c>
      <c r="G281" s="31">
        <f>ROUNDDOWN($D281*$F281,-3)</f>
        <v>17250000</v>
      </c>
      <c r="H281" s="31">
        <v>0</v>
      </c>
      <c r="I281" s="31">
        <f>SUMIF(dd_kuitansi[MAK],$A281,dd_kuitansi[Jumlah])</f>
        <v>0</v>
      </c>
      <c r="J281" s="31">
        <f>$G281-SUM($H281:$I281)</f>
        <v>17250000</v>
      </c>
    </row>
    <row r="282" spans="1:13" x14ac:dyDescent="0.25">
      <c r="A282" s="40" t="s">
        <v>829</v>
      </c>
      <c r="B282" s="29" t="s">
        <v>1</v>
      </c>
      <c r="C282" s="30" t="s">
        <v>58</v>
      </c>
      <c r="D282" s="31">
        <v>5</v>
      </c>
      <c r="E282" s="32" t="s">
        <v>36</v>
      </c>
      <c r="F282" s="31">
        <v>200000</v>
      </c>
      <c r="G282" s="31">
        <f>ROUNDDOWN($D282*$F282,-3)</f>
        <v>1000000</v>
      </c>
      <c r="H282" s="31">
        <v>0</v>
      </c>
      <c r="I282" s="31">
        <f>SUMIF(dd_kuitansi[MAK],$A282,dd_kuitansi[Jumlah])</f>
        <v>0</v>
      </c>
      <c r="J282" s="31">
        <f>$G282-SUM($H282:$I282)</f>
        <v>1000000</v>
      </c>
    </row>
    <row r="283" spans="1:13" ht="25.5" x14ac:dyDescent="0.25">
      <c r="A283" s="40" t="s">
        <v>407</v>
      </c>
      <c r="B283" s="25" t="s">
        <v>65</v>
      </c>
      <c r="C283" s="26" t="s">
        <v>127</v>
      </c>
      <c r="D283" s="27">
        <v>0</v>
      </c>
      <c r="E283" s="28" t="s">
        <v>1</v>
      </c>
      <c r="F283" s="27">
        <v>0</v>
      </c>
      <c r="G283" s="27">
        <f>SUM(G284,G290,G292)</f>
        <v>245280000</v>
      </c>
      <c r="H283" s="27">
        <f>SUM(H284,H290,H292)</f>
        <v>0</v>
      </c>
      <c r="I283" s="27">
        <f>SUM(I284,I290,I292)</f>
        <v>0</v>
      </c>
      <c r="J283" s="27">
        <f>SUM(J284,J290,J292)</f>
        <v>245280000</v>
      </c>
    </row>
    <row r="284" spans="1:13" x14ac:dyDescent="0.25">
      <c r="A284" s="40" t="s">
        <v>518</v>
      </c>
      <c r="B284" s="17" t="s">
        <v>33</v>
      </c>
      <c r="C284" s="18" t="s">
        <v>34</v>
      </c>
      <c r="D284" s="19">
        <v>0</v>
      </c>
      <c r="E284" s="20" t="s">
        <v>1</v>
      </c>
      <c r="F284" s="19">
        <v>0</v>
      </c>
      <c r="G284" s="19">
        <f>SUM(G285:G289)</f>
        <v>16780000</v>
      </c>
      <c r="H284" s="19">
        <f>SUM(H285:H289)</f>
        <v>0</v>
      </c>
      <c r="I284" s="19">
        <f>SUM(I285:I289)</f>
        <v>0</v>
      </c>
      <c r="J284" s="19">
        <f>SUM(J285:J289)</f>
        <v>16780000</v>
      </c>
    </row>
    <row r="285" spans="1:13" s="9" customFormat="1" x14ac:dyDescent="0.25">
      <c r="A285" s="39" t="s">
        <v>830</v>
      </c>
      <c r="B285" s="29" t="s">
        <v>1</v>
      </c>
      <c r="C285" s="30" t="s">
        <v>35</v>
      </c>
      <c r="D285" s="31">
        <v>120</v>
      </c>
      <c r="E285" s="32" t="s">
        <v>36</v>
      </c>
      <c r="F285" s="31">
        <v>69000</v>
      </c>
      <c r="G285" s="31">
        <f>ROUNDDOWN($D285*$F285,-3)</f>
        <v>8280000</v>
      </c>
      <c r="H285" s="31">
        <v>0</v>
      </c>
      <c r="I285" s="31">
        <f>SUMIF(dd_kuitansi[MAK],$A285,dd_kuitansi[Jumlah])</f>
        <v>0</v>
      </c>
      <c r="J285" s="31">
        <f>$G285-SUM($H285:$I285)</f>
        <v>8280000</v>
      </c>
      <c r="M285" s="184"/>
    </row>
    <row r="286" spans="1:13" x14ac:dyDescent="0.25">
      <c r="A286" s="40" t="s">
        <v>831</v>
      </c>
      <c r="B286" s="29" t="s">
        <v>1</v>
      </c>
      <c r="C286" s="30" t="s">
        <v>37</v>
      </c>
      <c r="D286" s="31">
        <v>1</v>
      </c>
      <c r="E286" s="32" t="s">
        <v>16</v>
      </c>
      <c r="F286" s="31">
        <v>1000000</v>
      </c>
      <c r="G286" s="31">
        <f>ROUNDDOWN($D286*$F286,-3)</f>
        <v>1000000</v>
      </c>
      <c r="H286" s="31">
        <v>0</v>
      </c>
      <c r="I286" s="31">
        <f>SUMIF(dd_kuitansi[MAK],$A286,dd_kuitansi[Jumlah])</f>
        <v>0</v>
      </c>
      <c r="J286" s="31">
        <f>$G286-SUM($H286:$I286)</f>
        <v>1000000</v>
      </c>
    </row>
    <row r="287" spans="1:13" x14ac:dyDescent="0.25">
      <c r="A287" s="40" t="s">
        <v>832</v>
      </c>
      <c r="B287" s="29" t="s">
        <v>1</v>
      </c>
      <c r="C287" s="30" t="s">
        <v>45</v>
      </c>
      <c r="D287" s="31">
        <v>1</v>
      </c>
      <c r="E287" s="32" t="s">
        <v>16</v>
      </c>
      <c r="F287" s="31">
        <v>1000000</v>
      </c>
      <c r="G287" s="31">
        <f>ROUNDDOWN($D287*$F287,-3)</f>
        <v>1000000</v>
      </c>
      <c r="H287" s="31">
        <v>0</v>
      </c>
      <c r="I287" s="31">
        <f>SUMIF(dd_kuitansi[MAK],$A287,dd_kuitansi[Jumlah])</f>
        <v>0</v>
      </c>
      <c r="J287" s="31">
        <f>$G287-SUM($H287:$I287)</f>
        <v>1000000</v>
      </c>
    </row>
    <row r="288" spans="1:13" x14ac:dyDescent="0.25">
      <c r="A288" s="40" t="s">
        <v>833</v>
      </c>
      <c r="B288" s="29" t="s">
        <v>1</v>
      </c>
      <c r="C288" s="30" t="s">
        <v>43</v>
      </c>
      <c r="D288" s="31">
        <v>1</v>
      </c>
      <c r="E288" s="32" t="s">
        <v>16</v>
      </c>
      <c r="F288" s="31">
        <v>1500000</v>
      </c>
      <c r="G288" s="31">
        <f>ROUNDDOWN($D288*$F288,-3)</f>
        <v>1500000</v>
      </c>
      <c r="H288" s="31">
        <v>0</v>
      </c>
      <c r="I288" s="31">
        <f>SUMIF(dd_kuitansi[MAK],$A288,dd_kuitansi[Jumlah])</f>
        <v>0</v>
      </c>
      <c r="J288" s="31">
        <f>$G288-SUM($H288:$I288)</f>
        <v>1500000</v>
      </c>
    </row>
    <row r="289" spans="1:13" s="9" customFormat="1" x14ac:dyDescent="0.25">
      <c r="A289" s="39" t="s">
        <v>834</v>
      </c>
      <c r="B289" s="29" t="s">
        <v>1</v>
      </c>
      <c r="C289" s="30" t="s">
        <v>100</v>
      </c>
      <c r="D289" s="31">
        <v>1</v>
      </c>
      <c r="E289" s="32" t="s">
        <v>16</v>
      </c>
      <c r="F289" s="31">
        <v>5000000</v>
      </c>
      <c r="G289" s="31">
        <f>ROUNDDOWN($D289*$F289,-3)</f>
        <v>5000000</v>
      </c>
      <c r="H289" s="31">
        <v>0</v>
      </c>
      <c r="I289" s="31">
        <f>SUMIF(dd_kuitansi[MAK],$A289,dd_kuitansi[Jumlah])</f>
        <v>0</v>
      </c>
      <c r="J289" s="31">
        <f>$G289-SUM($H289:$I289)</f>
        <v>5000000</v>
      </c>
      <c r="M289" s="184"/>
    </row>
    <row r="290" spans="1:13" s="9" customFormat="1" x14ac:dyDescent="0.25">
      <c r="A290" s="39" t="s">
        <v>519</v>
      </c>
      <c r="B290" s="17" t="s">
        <v>50</v>
      </c>
      <c r="C290" s="18" t="s">
        <v>51</v>
      </c>
      <c r="D290" s="19">
        <v>0</v>
      </c>
      <c r="E290" s="20" t="s">
        <v>1</v>
      </c>
      <c r="F290" s="19">
        <v>0</v>
      </c>
      <c r="G290" s="19">
        <f>G291</f>
        <v>176000000</v>
      </c>
      <c r="H290" s="19">
        <f>H291</f>
        <v>0</v>
      </c>
      <c r="I290" s="19">
        <f>I291</f>
        <v>0</v>
      </c>
      <c r="J290" s="19">
        <f>J291</f>
        <v>176000000</v>
      </c>
      <c r="M290" s="184"/>
    </row>
    <row r="291" spans="1:13" ht="25.5" x14ac:dyDescent="0.25">
      <c r="A291" s="40" t="s">
        <v>835</v>
      </c>
      <c r="B291" s="29" t="s">
        <v>1</v>
      </c>
      <c r="C291" s="30" t="s">
        <v>128</v>
      </c>
      <c r="D291" s="31">
        <v>22</v>
      </c>
      <c r="E291" s="32" t="s">
        <v>36</v>
      </c>
      <c r="F291" s="31">
        <v>8000000</v>
      </c>
      <c r="G291" s="31">
        <f>ROUNDDOWN($D291*$F291,-3)</f>
        <v>176000000</v>
      </c>
      <c r="H291" s="31">
        <v>0</v>
      </c>
      <c r="I291" s="31">
        <f>SUMIF(dd_kuitansi[MAK],$A291,dd_kuitansi[Jumlah])</f>
        <v>0</v>
      </c>
      <c r="J291" s="31">
        <f>$G291-SUM($H291:$I291)</f>
        <v>176000000</v>
      </c>
    </row>
    <row r="292" spans="1:13" x14ac:dyDescent="0.25">
      <c r="A292" s="40" t="s">
        <v>520</v>
      </c>
      <c r="B292" s="17" t="s">
        <v>54</v>
      </c>
      <c r="C292" s="18" t="s">
        <v>55</v>
      </c>
      <c r="D292" s="19">
        <v>0</v>
      </c>
      <c r="E292" s="20" t="s">
        <v>1</v>
      </c>
      <c r="F292" s="19">
        <v>0</v>
      </c>
      <c r="G292" s="31">
        <f>SUM(G293:G295)</f>
        <v>52500000</v>
      </c>
      <c r="H292" s="31">
        <f>SUM(H293:H295)</f>
        <v>0</v>
      </c>
      <c r="I292" s="31">
        <f>SUM(I293:I295)</f>
        <v>0</v>
      </c>
      <c r="J292" s="31">
        <f>SUM(J293:J295)</f>
        <v>52500000</v>
      </c>
    </row>
    <row r="293" spans="1:13" x14ac:dyDescent="0.25">
      <c r="A293" s="40" t="s">
        <v>836</v>
      </c>
      <c r="B293" s="29" t="s">
        <v>1</v>
      </c>
      <c r="C293" s="30" t="s">
        <v>56</v>
      </c>
      <c r="D293" s="31">
        <v>20</v>
      </c>
      <c r="E293" s="32" t="s">
        <v>36</v>
      </c>
      <c r="F293" s="31">
        <v>300000</v>
      </c>
      <c r="G293" s="31">
        <f>ROUNDDOWN($D293*$F293,-3)</f>
        <v>6000000</v>
      </c>
      <c r="H293" s="31">
        <v>0</v>
      </c>
      <c r="I293" s="31">
        <f>SUMIF(dd_kuitansi[MAK],$A293,dd_kuitansi[Jumlah])</f>
        <v>0</v>
      </c>
      <c r="J293" s="31">
        <f>$G293-SUM($H293:$I293)</f>
        <v>6000000</v>
      </c>
    </row>
    <row r="294" spans="1:13" x14ac:dyDescent="0.25">
      <c r="A294" s="40" t="s">
        <v>837</v>
      </c>
      <c r="B294" s="29" t="s">
        <v>1</v>
      </c>
      <c r="C294" s="30" t="s">
        <v>57</v>
      </c>
      <c r="D294" s="31">
        <v>170</v>
      </c>
      <c r="E294" s="32" t="s">
        <v>36</v>
      </c>
      <c r="F294" s="31">
        <v>250000</v>
      </c>
      <c r="G294" s="31">
        <f>ROUNDDOWN($D294*$F294,-3)</f>
        <v>42500000</v>
      </c>
      <c r="H294" s="31">
        <v>0</v>
      </c>
      <c r="I294" s="31">
        <f>SUMIF(dd_kuitansi[MAK],$A294,dd_kuitansi[Jumlah])</f>
        <v>0</v>
      </c>
      <c r="J294" s="31">
        <f>$G294-SUM($H294:$I294)</f>
        <v>42500000</v>
      </c>
    </row>
    <row r="295" spans="1:13" x14ac:dyDescent="0.25">
      <c r="A295" s="40" t="s">
        <v>838</v>
      </c>
      <c r="B295" s="29" t="s">
        <v>1</v>
      </c>
      <c r="C295" s="30" t="s">
        <v>58</v>
      </c>
      <c r="D295" s="31">
        <v>20</v>
      </c>
      <c r="E295" s="32" t="s">
        <v>36</v>
      </c>
      <c r="F295" s="31">
        <v>200000</v>
      </c>
      <c r="G295" s="31">
        <f>ROUNDDOWN($D295*$F295,-3)</f>
        <v>4000000</v>
      </c>
      <c r="H295" s="31">
        <v>0</v>
      </c>
      <c r="I295" s="31">
        <f>SUMIF(dd_kuitansi[MAK],$A295,dd_kuitansi[Jumlah])</f>
        <v>0</v>
      </c>
      <c r="J295" s="31">
        <f>$G295-SUM($H295:$I295)</f>
        <v>4000000</v>
      </c>
    </row>
    <row r="296" spans="1:13" s="9" customFormat="1" x14ac:dyDescent="0.25">
      <c r="A296" s="39" t="s">
        <v>408</v>
      </c>
      <c r="B296" s="25" t="s">
        <v>68</v>
      </c>
      <c r="C296" s="26" t="s">
        <v>129</v>
      </c>
      <c r="D296" s="27">
        <v>0</v>
      </c>
      <c r="E296" s="28" t="s">
        <v>1</v>
      </c>
      <c r="F296" s="27">
        <v>0</v>
      </c>
      <c r="G296" s="27">
        <f>SUM(G297,G303,G305)</f>
        <v>264596000</v>
      </c>
      <c r="H296" s="27">
        <f>SUM(H297,H303,H305)</f>
        <v>0</v>
      </c>
      <c r="I296" s="27">
        <f>SUM(I297,I303,I305)</f>
        <v>0</v>
      </c>
      <c r="J296" s="27">
        <f>SUM(J297,J303,J305)</f>
        <v>264596000</v>
      </c>
      <c r="M296" s="184"/>
    </row>
    <row r="297" spans="1:13" x14ac:dyDescent="0.25">
      <c r="A297" s="40" t="s">
        <v>521</v>
      </c>
      <c r="B297" s="17" t="s">
        <v>33</v>
      </c>
      <c r="C297" s="18" t="s">
        <v>34</v>
      </c>
      <c r="D297" s="19">
        <v>0</v>
      </c>
      <c r="E297" s="20" t="s">
        <v>1</v>
      </c>
      <c r="F297" s="19">
        <v>0</v>
      </c>
      <c r="G297" s="19">
        <f>SUM(G298:G302)</f>
        <v>36596000</v>
      </c>
      <c r="H297" s="19">
        <f>SUM(H298:H302)</f>
        <v>0</v>
      </c>
      <c r="I297" s="19">
        <f>SUM(I298:I302)</f>
        <v>0</v>
      </c>
      <c r="J297" s="19">
        <f>SUM(J298:J302)</f>
        <v>36596000</v>
      </c>
    </row>
    <row r="298" spans="1:13" s="9" customFormat="1" x14ac:dyDescent="0.25">
      <c r="A298" s="39" t="s">
        <v>839</v>
      </c>
      <c r="B298" s="29" t="s">
        <v>1</v>
      </c>
      <c r="C298" s="30" t="s">
        <v>35</v>
      </c>
      <c r="D298" s="31">
        <v>284</v>
      </c>
      <c r="E298" s="32" t="s">
        <v>36</v>
      </c>
      <c r="F298" s="31">
        <v>69000</v>
      </c>
      <c r="G298" s="31">
        <f>ROUNDDOWN($D298*$F298,-3)</f>
        <v>19596000</v>
      </c>
      <c r="H298" s="31">
        <v>0</v>
      </c>
      <c r="I298" s="31">
        <f>SUMIF(dd_kuitansi[MAK],$A298,dd_kuitansi[Jumlah])</f>
        <v>0</v>
      </c>
      <c r="J298" s="31">
        <f>$G298-SUM($H298:$I298)</f>
        <v>19596000</v>
      </c>
      <c r="M298" s="184"/>
    </row>
    <row r="299" spans="1:13" x14ac:dyDescent="0.25">
      <c r="A299" s="40" t="s">
        <v>840</v>
      </c>
      <c r="B299" s="29" t="s">
        <v>1</v>
      </c>
      <c r="C299" s="30" t="s">
        <v>37</v>
      </c>
      <c r="D299" s="31">
        <v>2</v>
      </c>
      <c r="E299" s="32" t="s">
        <v>16</v>
      </c>
      <c r="F299" s="31">
        <v>1000000</v>
      </c>
      <c r="G299" s="31">
        <f>ROUNDDOWN($D299*$F299,-3)</f>
        <v>2000000</v>
      </c>
      <c r="H299" s="31">
        <v>0</v>
      </c>
      <c r="I299" s="31">
        <f>SUMIF(dd_kuitansi[MAK],$A299,dd_kuitansi[Jumlah])</f>
        <v>0</v>
      </c>
      <c r="J299" s="31">
        <f>$G299-SUM($H299:$I299)</f>
        <v>2000000</v>
      </c>
    </row>
    <row r="300" spans="1:13" x14ac:dyDescent="0.25">
      <c r="A300" s="40" t="s">
        <v>841</v>
      </c>
      <c r="B300" s="29" t="s">
        <v>1</v>
      </c>
      <c r="C300" s="30" t="s">
        <v>45</v>
      </c>
      <c r="D300" s="31">
        <v>2</v>
      </c>
      <c r="E300" s="32" t="s">
        <v>16</v>
      </c>
      <c r="F300" s="31">
        <v>1000000</v>
      </c>
      <c r="G300" s="31">
        <f>ROUNDDOWN($D300*$F300,-3)</f>
        <v>2000000</v>
      </c>
      <c r="H300" s="31">
        <v>0</v>
      </c>
      <c r="I300" s="31">
        <f>SUMIF(dd_kuitansi[MAK],$A300,dd_kuitansi[Jumlah])</f>
        <v>0</v>
      </c>
      <c r="J300" s="31">
        <f>$G300-SUM($H300:$I300)</f>
        <v>2000000</v>
      </c>
    </row>
    <row r="301" spans="1:13" x14ac:dyDescent="0.25">
      <c r="A301" s="40" t="s">
        <v>842</v>
      </c>
      <c r="B301" s="29" t="s">
        <v>1</v>
      </c>
      <c r="C301" s="30" t="s">
        <v>43</v>
      </c>
      <c r="D301" s="31">
        <v>2</v>
      </c>
      <c r="E301" s="32" t="s">
        <v>16</v>
      </c>
      <c r="F301" s="31">
        <v>1500000</v>
      </c>
      <c r="G301" s="31">
        <f>ROUNDDOWN($D301*$F301,-3)</f>
        <v>3000000</v>
      </c>
      <c r="H301" s="31">
        <v>0</v>
      </c>
      <c r="I301" s="31">
        <f>SUMIF(dd_kuitansi[MAK],$A301,dd_kuitansi[Jumlah])</f>
        <v>0</v>
      </c>
      <c r="J301" s="31">
        <f>$G301-SUM($H301:$I301)</f>
        <v>3000000</v>
      </c>
    </row>
    <row r="302" spans="1:13" s="9" customFormat="1" x14ac:dyDescent="0.25">
      <c r="A302" s="39" t="s">
        <v>843</v>
      </c>
      <c r="B302" s="29" t="s">
        <v>1</v>
      </c>
      <c r="C302" s="30" t="s">
        <v>100</v>
      </c>
      <c r="D302" s="31">
        <v>2</v>
      </c>
      <c r="E302" s="32" t="s">
        <v>16</v>
      </c>
      <c r="F302" s="31">
        <v>5000000</v>
      </c>
      <c r="G302" s="31">
        <f>ROUNDDOWN($D302*$F302,-3)</f>
        <v>10000000</v>
      </c>
      <c r="H302" s="31">
        <v>0</v>
      </c>
      <c r="I302" s="31">
        <f>SUMIF(dd_kuitansi[MAK],$A302,dd_kuitansi[Jumlah])</f>
        <v>0</v>
      </c>
      <c r="J302" s="31">
        <f>$G302-SUM($H302:$I302)</f>
        <v>10000000</v>
      </c>
      <c r="M302" s="184"/>
    </row>
    <row r="303" spans="1:13" s="9" customFormat="1" x14ac:dyDescent="0.25">
      <c r="A303" s="39" t="s">
        <v>522</v>
      </c>
      <c r="B303" s="17" t="s">
        <v>50</v>
      </c>
      <c r="C303" s="18" t="s">
        <v>51</v>
      </c>
      <c r="D303" s="19">
        <v>0</v>
      </c>
      <c r="E303" s="20" t="s">
        <v>1</v>
      </c>
      <c r="F303" s="19">
        <v>0</v>
      </c>
      <c r="G303" s="19">
        <f>G304</f>
        <v>144000000</v>
      </c>
      <c r="H303" s="19">
        <f>H304</f>
        <v>0</v>
      </c>
      <c r="I303" s="19">
        <f>I304</f>
        <v>0</v>
      </c>
      <c r="J303" s="19">
        <f>J304</f>
        <v>144000000</v>
      </c>
      <c r="M303" s="184"/>
    </row>
    <row r="304" spans="1:13" x14ac:dyDescent="0.25">
      <c r="A304" s="40" t="s">
        <v>844</v>
      </c>
      <c r="B304" s="29" t="s">
        <v>1</v>
      </c>
      <c r="C304" s="30" t="s">
        <v>130</v>
      </c>
      <c r="D304" s="31">
        <v>18</v>
      </c>
      <c r="E304" s="32" t="s">
        <v>36</v>
      </c>
      <c r="F304" s="31">
        <v>8000000</v>
      </c>
      <c r="G304" s="31">
        <f>ROUNDDOWN($D304*$F304,-3)</f>
        <v>144000000</v>
      </c>
      <c r="H304" s="31">
        <v>0</v>
      </c>
      <c r="I304" s="31">
        <f>SUMIF(dd_kuitansi[MAK],$A304,dd_kuitansi[Jumlah])</f>
        <v>0</v>
      </c>
      <c r="J304" s="31">
        <f>$G304-SUM($H304:$I304)</f>
        <v>144000000</v>
      </c>
    </row>
    <row r="305" spans="1:13" x14ac:dyDescent="0.25">
      <c r="A305" s="40" t="s">
        <v>523</v>
      </c>
      <c r="B305" s="17" t="s">
        <v>54</v>
      </c>
      <c r="C305" s="18" t="s">
        <v>55</v>
      </c>
      <c r="D305" s="19">
        <v>0</v>
      </c>
      <c r="E305" s="20" t="s">
        <v>1</v>
      </c>
      <c r="F305" s="19">
        <v>0</v>
      </c>
      <c r="G305" s="31">
        <f>SUM(G306:G308)</f>
        <v>84000000</v>
      </c>
      <c r="H305" s="31">
        <f>SUM(H306:H308)</f>
        <v>0</v>
      </c>
      <c r="I305" s="31">
        <f>SUM(I306:I308)</f>
        <v>0</v>
      </c>
      <c r="J305" s="31">
        <f>SUM(J306:J308)</f>
        <v>84000000</v>
      </c>
    </row>
    <row r="306" spans="1:13" x14ac:dyDescent="0.25">
      <c r="A306" s="40" t="s">
        <v>845</v>
      </c>
      <c r="B306" s="29" t="s">
        <v>1</v>
      </c>
      <c r="C306" s="30" t="s">
        <v>56</v>
      </c>
      <c r="D306" s="31">
        <v>55</v>
      </c>
      <c r="E306" s="32" t="s">
        <v>36</v>
      </c>
      <c r="F306" s="31">
        <v>300000</v>
      </c>
      <c r="G306" s="31">
        <f>ROUNDDOWN($D306*$F306,-3)</f>
        <v>16500000</v>
      </c>
      <c r="H306" s="31">
        <v>0</v>
      </c>
      <c r="I306" s="31">
        <f>SUMIF(dd_kuitansi[MAK],$A306,dd_kuitansi[Jumlah])</f>
        <v>0</v>
      </c>
      <c r="J306" s="31">
        <f>$G306-SUM($H306:$I306)</f>
        <v>16500000</v>
      </c>
    </row>
    <row r="307" spans="1:13" x14ac:dyDescent="0.25">
      <c r="A307" s="40" t="s">
        <v>846</v>
      </c>
      <c r="B307" s="29" t="s">
        <v>1</v>
      </c>
      <c r="C307" s="30" t="s">
        <v>57</v>
      </c>
      <c r="D307" s="31">
        <v>250</v>
      </c>
      <c r="E307" s="32" t="s">
        <v>36</v>
      </c>
      <c r="F307" s="31">
        <v>250000</v>
      </c>
      <c r="G307" s="31">
        <f>ROUNDDOWN($D307*$F307,-3)</f>
        <v>62500000</v>
      </c>
      <c r="H307" s="31">
        <v>0</v>
      </c>
      <c r="I307" s="31">
        <f>SUMIF(dd_kuitansi[MAK],$A307,dd_kuitansi[Jumlah])</f>
        <v>0</v>
      </c>
      <c r="J307" s="31">
        <f>$G307-SUM($H307:$I307)</f>
        <v>62500000</v>
      </c>
    </row>
    <row r="308" spans="1:13" x14ac:dyDescent="0.25">
      <c r="A308" s="40" t="s">
        <v>847</v>
      </c>
      <c r="B308" s="29" t="s">
        <v>1</v>
      </c>
      <c r="C308" s="30" t="s">
        <v>58</v>
      </c>
      <c r="D308" s="31">
        <v>25</v>
      </c>
      <c r="E308" s="32" t="s">
        <v>36</v>
      </c>
      <c r="F308" s="31">
        <v>200000</v>
      </c>
      <c r="G308" s="31">
        <f>ROUNDDOWN($D308*$F308,-3)</f>
        <v>5000000</v>
      </c>
      <c r="H308" s="31">
        <v>0</v>
      </c>
      <c r="I308" s="31">
        <f>SUMIF(dd_kuitansi[MAK],$A308,dd_kuitansi[Jumlah])</f>
        <v>0</v>
      </c>
      <c r="J308" s="31">
        <f>$G308-SUM($H308:$I308)</f>
        <v>5000000</v>
      </c>
    </row>
    <row r="309" spans="1:13" s="9" customFormat="1" x14ac:dyDescent="0.25">
      <c r="A309" s="39" t="s">
        <v>409</v>
      </c>
      <c r="B309" s="25" t="s">
        <v>98</v>
      </c>
      <c r="C309" s="26" t="s">
        <v>131</v>
      </c>
      <c r="D309" s="27">
        <v>0</v>
      </c>
      <c r="E309" s="28" t="s">
        <v>1</v>
      </c>
      <c r="F309" s="27">
        <v>0</v>
      </c>
      <c r="G309" s="27">
        <f>SUM(G310,G316)</f>
        <v>75333000</v>
      </c>
      <c r="H309" s="27">
        <f>SUM(H310,H316)</f>
        <v>0</v>
      </c>
      <c r="I309" s="27">
        <f>SUM(I310,I316)</f>
        <v>0</v>
      </c>
      <c r="J309" s="27">
        <f>SUM(J310,J316)</f>
        <v>75333000</v>
      </c>
      <c r="M309" s="184"/>
    </row>
    <row r="310" spans="1:13" x14ac:dyDescent="0.25">
      <c r="A310" s="40" t="s">
        <v>524</v>
      </c>
      <c r="B310" s="17" t="s">
        <v>33</v>
      </c>
      <c r="C310" s="18" t="s">
        <v>34</v>
      </c>
      <c r="D310" s="19">
        <v>0</v>
      </c>
      <c r="E310" s="20" t="s">
        <v>1</v>
      </c>
      <c r="F310" s="19">
        <v>0</v>
      </c>
      <c r="G310" s="19">
        <f>SUM(G311:G315)</f>
        <v>19333000</v>
      </c>
      <c r="H310" s="19">
        <f>SUM(H311:H315)</f>
        <v>0</v>
      </c>
      <c r="I310" s="19">
        <f>SUM(I311:I315)</f>
        <v>0</v>
      </c>
      <c r="J310" s="19">
        <f>SUM(J311:J315)</f>
        <v>19333000</v>
      </c>
    </row>
    <row r="311" spans="1:13" s="9" customFormat="1" x14ac:dyDescent="0.25">
      <c r="A311" s="39" t="s">
        <v>848</v>
      </c>
      <c r="B311" s="29" t="s">
        <v>1</v>
      </c>
      <c r="C311" s="30" t="s">
        <v>35</v>
      </c>
      <c r="D311" s="31">
        <v>157</v>
      </c>
      <c r="E311" s="32" t="s">
        <v>36</v>
      </c>
      <c r="F311" s="31">
        <v>69000</v>
      </c>
      <c r="G311" s="31">
        <f>ROUNDDOWN($D311*$F311,-3)</f>
        <v>10833000</v>
      </c>
      <c r="H311" s="31">
        <v>0</v>
      </c>
      <c r="I311" s="31">
        <f>SUMIF(dd_kuitansi[MAK],$A311,dd_kuitansi[Jumlah])</f>
        <v>0</v>
      </c>
      <c r="J311" s="31">
        <f>$G311-SUM($H311:$I311)</f>
        <v>10833000</v>
      </c>
      <c r="M311" s="184"/>
    </row>
    <row r="312" spans="1:13" x14ac:dyDescent="0.25">
      <c r="A312" s="40" t="s">
        <v>849</v>
      </c>
      <c r="B312" s="29" t="s">
        <v>1</v>
      </c>
      <c r="C312" s="30" t="s">
        <v>37</v>
      </c>
      <c r="D312" s="31">
        <v>1</v>
      </c>
      <c r="E312" s="32" t="s">
        <v>16</v>
      </c>
      <c r="F312" s="31">
        <v>1000000</v>
      </c>
      <c r="G312" s="31">
        <f>ROUNDDOWN($D312*$F312,-3)</f>
        <v>1000000</v>
      </c>
      <c r="H312" s="31">
        <v>0</v>
      </c>
      <c r="I312" s="31">
        <f>SUMIF(dd_kuitansi[MAK],$A312,dd_kuitansi[Jumlah])</f>
        <v>0</v>
      </c>
      <c r="J312" s="31">
        <f>$G312-SUM($H312:$I312)</f>
        <v>1000000</v>
      </c>
    </row>
    <row r="313" spans="1:13" x14ac:dyDescent="0.25">
      <c r="A313" s="40" t="s">
        <v>850</v>
      </c>
      <c r="B313" s="29" t="s">
        <v>1</v>
      </c>
      <c r="C313" s="30" t="s">
        <v>45</v>
      </c>
      <c r="D313" s="31">
        <v>1</v>
      </c>
      <c r="E313" s="32" t="s">
        <v>16</v>
      </c>
      <c r="F313" s="31">
        <v>1000000</v>
      </c>
      <c r="G313" s="31">
        <f>ROUNDDOWN($D313*$F313,-3)</f>
        <v>1000000</v>
      </c>
      <c r="H313" s="31">
        <v>0</v>
      </c>
      <c r="I313" s="31">
        <f>SUMIF(dd_kuitansi[MAK],$A313,dd_kuitansi[Jumlah])</f>
        <v>0</v>
      </c>
      <c r="J313" s="31">
        <f>$G313-SUM($H313:$I313)</f>
        <v>1000000</v>
      </c>
    </row>
    <row r="314" spans="1:13" x14ac:dyDescent="0.25">
      <c r="A314" s="40" t="s">
        <v>851</v>
      </c>
      <c r="B314" s="29" t="s">
        <v>1</v>
      </c>
      <c r="C314" s="30" t="s">
        <v>43</v>
      </c>
      <c r="D314" s="31">
        <v>1</v>
      </c>
      <c r="E314" s="32" t="s">
        <v>16</v>
      </c>
      <c r="F314" s="31">
        <v>1500000</v>
      </c>
      <c r="G314" s="31">
        <f>ROUNDDOWN($D314*$F314,-3)</f>
        <v>1500000</v>
      </c>
      <c r="H314" s="31">
        <v>0</v>
      </c>
      <c r="I314" s="31">
        <f>SUMIF(dd_kuitansi[MAK],$A314,dd_kuitansi[Jumlah])</f>
        <v>0</v>
      </c>
      <c r="J314" s="31">
        <f>$G314-SUM($H314:$I314)</f>
        <v>1500000</v>
      </c>
    </row>
    <row r="315" spans="1:13" s="9" customFormat="1" x14ac:dyDescent="0.25">
      <c r="A315" s="39" t="s">
        <v>852</v>
      </c>
      <c r="B315" s="29" t="s">
        <v>1</v>
      </c>
      <c r="C315" s="30" t="s">
        <v>100</v>
      </c>
      <c r="D315" s="31">
        <v>1</v>
      </c>
      <c r="E315" s="32" t="s">
        <v>16</v>
      </c>
      <c r="F315" s="31">
        <v>5000000</v>
      </c>
      <c r="G315" s="31">
        <f>ROUNDDOWN($D315*$F315,-3)</f>
        <v>5000000</v>
      </c>
      <c r="H315" s="31">
        <v>0</v>
      </c>
      <c r="I315" s="31">
        <f>SUMIF(dd_kuitansi[MAK],$A315,dd_kuitansi[Jumlah])</f>
        <v>0</v>
      </c>
      <c r="J315" s="31">
        <f>$G315-SUM($H315:$I315)</f>
        <v>5000000</v>
      </c>
      <c r="M315" s="184"/>
    </row>
    <row r="316" spans="1:13" s="9" customFormat="1" x14ac:dyDescent="0.25">
      <c r="A316" s="39" t="s">
        <v>525</v>
      </c>
      <c r="B316" s="17" t="s">
        <v>54</v>
      </c>
      <c r="C316" s="18" t="s">
        <v>55</v>
      </c>
      <c r="D316" s="19">
        <v>0</v>
      </c>
      <c r="E316" s="20" t="s">
        <v>1</v>
      </c>
      <c r="F316" s="19">
        <v>0</v>
      </c>
      <c r="G316" s="31">
        <f>SUM(G317:G319)</f>
        <v>56000000</v>
      </c>
      <c r="H316" s="31">
        <f>SUM(H317:H319)</f>
        <v>0</v>
      </c>
      <c r="I316" s="31">
        <f>SUM(I317:I319)</f>
        <v>0</v>
      </c>
      <c r="J316" s="31">
        <f>SUM(J317:J319)</f>
        <v>56000000</v>
      </c>
      <c r="M316" s="184"/>
    </row>
    <row r="317" spans="1:13" x14ac:dyDescent="0.25">
      <c r="A317" s="40" t="s">
        <v>853</v>
      </c>
      <c r="B317" s="29" t="s">
        <v>1</v>
      </c>
      <c r="C317" s="30" t="s">
        <v>56</v>
      </c>
      <c r="D317" s="31">
        <v>30</v>
      </c>
      <c r="E317" s="32" t="s">
        <v>36</v>
      </c>
      <c r="F317" s="31">
        <v>300000</v>
      </c>
      <c r="G317" s="31">
        <f>ROUNDDOWN($D317*$F317,-3)</f>
        <v>9000000</v>
      </c>
      <c r="H317" s="31">
        <v>0</v>
      </c>
      <c r="I317" s="31">
        <f>SUMIF(dd_kuitansi[MAK],$A317,dd_kuitansi[Jumlah])</f>
        <v>0</v>
      </c>
      <c r="J317" s="31">
        <f>$G317-SUM($H317:$I317)</f>
        <v>9000000</v>
      </c>
    </row>
    <row r="318" spans="1:13" x14ac:dyDescent="0.25">
      <c r="A318" s="40" t="s">
        <v>854</v>
      </c>
      <c r="B318" s="29" t="s">
        <v>1</v>
      </c>
      <c r="C318" s="30" t="s">
        <v>57</v>
      </c>
      <c r="D318" s="31">
        <v>176</v>
      </c>
      <c r="E318" s="32" t="s">
        <v>36</v>
      </c>
      <c r="F318" s="31">
        <v>250000</v>
      </c>
      <c r="G318" s="31">
        <f>ROUNDDOWN($D318*$F318,-3)</f>
        <v>44000000</v>
      </c>
      <c r="H318" s="31">
        <v>0</v>
      </c>
      <c r="I318" s="31">
        <f>SUMIF(dd_kuitansi[MAK],$A318,dd_kuitansi[Jumlah])</f>
        <v>0</v>
      </c>
      <c r="J318" s="31">
        <f>$G318-SUM($H318:$I318)</f>
        <v>44000000</v>
      </c>
    </row>
    <row r="319" spans="1:13" x14ac:dyDescent="0.25">
      <c r="A319" s="40" t="s">
        <v>855</v>
      </c>
      <c r="B319" s="29" t="s">
        <v>1</v>
      </c>
      <c r="C319" s="30" t="s">
        <v>58</v>
      </c>
      <c r="D319" s="31">
        <v>15</v>
      </c>
      <c r="E319" s="32" t="s">
        <v>36</v>
      </c>
      <c r="F319" s="31">
        <v>200000</v>
      </c>
      <c r="G319" s="31">
        <f>ROUNDDOWN($D319*$F319,-3)</f>
        <v>3000000</v>
      </c>
      <c r="H319" s="31">
        <v>0</v>
      </c>
      <c r="I319" s="31">
        <f>SUMIF(dd_kuitansi[MAK],$A319,dd_kuitansi[Jumlah])</f>
        <v>0</v>
      </c>
      <c r="J319" s="31">
        <f>$G319-SUM($H319:$I319)</f>
        <v>3000000</v>
      </c>
    </row>
    <row r="320" spans="1:13" x14ac:dyDescent="0.25">
      <c r="A320" s="40" t="s">
        <v>410</v>
      </c>
      <c r="B320" s="25" t="s">
        <v>108</v>
      </c>
      <c r="C320" s="26" t="s">
        <v>132</v>
      </c>
      <c r="D320" s="27">
        <v>0</v>
      </c>
      <c r="E320" s="28" t="s">
        <v>1</v>
      </c>
      <c r="F320" s="27">
        <v>0</v>
      </c>
      <c r="G320" s="27">
        <f>SUM(G321,G327,G329,G331,G333)</f>
        <v>114300000</v>
      </c>
      <c r="H320" s="27">
        <f>SUM(H321,H327,H329,H331,H333)</f>
        <v>0</v>
      </c>
      <c r="I320" s="27">
        <f>SUM(I321,I327,I329,I331,I333)</f>
        <v>0</v>
      </c>
      <c r="J320" s="27">
        <f>SUM(J321,J327,J329,J331,J333)</f>
        <v>114300000</v>
      </c>
    </row>
    <row r="321" spans="1:13" x14ac:dyDescent="0.25">
      <c r="A321" s="40" t="s">
        <v>526</v>
      </c>
      <c r="B321" s="17" t="s">
        <v>33</v>
      </c>
      <c r="C321" s="18" t="s">
        <v>34</v>
      </c>
      <c r="D321" s="19">
        <v>0</v>
      </c>
      <c r="E321" s="20" t="s">
        <v>1</v>
      </c>
      <c r="F321" s="19">
        <v>0</v>
      </c>
      <c r="G321" s="19">
        <f>SUM(G322:G326)</f>
        <v>22800000</v>
      </c>
      <c r="H321" s="19">
        <f>SUM(H322:H326)</f>
        <v>0</v>
      </c>
      <c r="I321" s="19">
        <f>SUM(I322:I326)</f>
        <v>0</v>
      </c>
      <c r="J321" s="19">
        <f>SUM(J322:J326)</f>
        <v>22800000</v>
      </c>
    </row>
    <row r="322" spans="1:13" s="9" customFormat="1" x14ac:dyDescent="0.25">
      <c r="A322" s="39" t="s">
        <v>856</v>
      </c>
      <c r="B322" s="29" t="s">
        <v>1</v>
      </c>
      <c r="C322" s="30" t="s">
        <v>35</v>
      </c>
      <c r="D322" s="31">
        <v>200</v>
      </c>
      <c r="E322" s="32" t="s">
        <v>36</v>
      </c>
      <c r="F322" s="31">
        <v>69000</v>
      </c>
      <c r="G322" s="31">
        <f>ROUNDDOWN($D322*$F322,-3)</f>
        <v>13800000</v>
      </c>
      <c r="H322" s="31">
        <v>0</v>
      </c>
      <c r="I322" s="31">
        <f>SUMIF(dd_kuitansi[MAK],$A322,dd_kuitansi[Jumlah])</f>
        <v>0</v>
      </c>
      <c r="J322" s="31">
        <f>$G322-SUM($H322:$I322)</f>
        <v>13800000</v>
      </c>
      <c r="M322" s="184"/>
    </row>
    <row r="323" spans="1:13" x14ac:dyDescent="0.25">
      <c r="A323" s="40" t="s">
        <v>857</v>
      </c>
      <c r="B323" s="29" t="s">
        <v>1</v>
      </c>
      <c r="C323" s="30" t="s">
        <v>37</v>
      </c>
      <c r="D323" s="31">
        <v>2</v>
      </c>
      <c r="E323" s="32" t="s">
        <v>16</v>
      </c>
      <c r="F323" s="31">
        <v>1500000</v>
      </c>
      <c r="G323" s="31">
        <f>ROUNDDOWN($D323*$F323,-3)</f>
        <v>3000000</v>
      </c>
      <c r="H323" s="31">
        <v>0</v>
      </c>
      <c r="I323" s="31">
        <f>SUMIF(dd_kuitansi[MAK],$A323,dd_kuitansi[Jumlah])</f>
        <v>0</v>
      </c>
      <c r="J323" s="31">
        <f>$G323-SUM($H323:$I323)</f>
        <v>3000000</v>
      </c>
    </row>
    <row r="324" spans="1:13" x14ac:dyDescent="0.25">
      <c r="A324" s="40" t="s">
        <v>858</v>
      </c>
      <c r="B324" s="29" t="s">
        <v>1</v>
      </c>
      <c r="C324" s="30" t="s">
        <v>133</v>
      </c>
      <c r="D324" s="31">
        <v>2</v>
      </c>
      <c r="E324" s="32" t="s">
        <v>16</v>
      </c>
      <c r="F324" s="31">
        <v>500000</v>
      </c>
      <c r="G324" s="31">
        <f>ROUNDDOWN($D324*$F324,-3)</f>
        <v>1000000</v>
      </c>
      <c r="H324" s="31">
        <v>0</v>
      </c>
      <c r="I324" s="31">
        <f>SUMIF(dd_kuitansi[MAK],$A324,dd_kuitansi[Jumlah])</f>
        <v>0</v>
      </c>
      <c r="J324" s="31">
        <f>$G324-SUM($H324:$I324)</f>
        <v>1000000</v>
      </c>
    </row>
    <row r="325" spans="1:13" x14ac:dyDescent="0.25">
      <c r="A325" s="40" t="s">
        <v>859</v>
      </c>
      <c r="B325" s="29" t="s">
        <v>1</v>
      </c>
      <c r="C325" s="30" t="s">
        <v>45</v>
      </c>
      <c r="D325" s="31">
        <v>2</v>
      </c>
      <c r="E325" s="32" t="s">
        <v>16</v>
      </c>
      <c r="F325" s="31">
        <v>1000000</v>
      </c>
      <c r="G325" s="31">
        <f>ROUNDDOWN($D325*$F325,-3)</f>
        <v>2000000</v>
      </c>
      <c r="H325" s="31">
        <v>0</v>
      </c>
      <c r="I325" s="31">
        <f>SUMIF(dd_kuitansi[MAK],$A325,dd_kuitansi[Jumlah])</f>
        <v>0</v>
      </c>
      <c r="J325" s="31">
        <f>$G325-SUM($H325:$I325)</f>
        <v>2000000</v>
      </c>
    </row>
    <row r="326" spans="1:13" s="9" customFormat="1" x14ac:dyDescent="0.25">
      <c r="A326" s="39" t="s">
        <v>860</v>
      </c>
      <c r="B326" s="29" t="s">
        <v>1</v>
      </c>
      <c r="C326" s="30" t="s">
        <v>43</v>
      </c>
      <c r="D326" s="31">
        <v>2</v>
      </c>
      <c r="E326" s="32" t="s">
        <v>16</v>
      </c>
      <c r="F326" s="31">
        <v>1500000</v>
      </c>
      <c r="G326" s="31">
        <f>ROUNDDOWN($D326*$F326,-3)</f>
        <v>3000000</v>
      </c>
      <c r="H326" s="31">
        <v>0</v>
      </c>
      <c r="I326" s="31">
        <f>SUMIF(dd_kuitansi[MAK],$A326,dd_kuitansi[Jumlah])</f>
        <v>0</v>
      </c>
      <c r="J326" s="31">
        <f>$G326-SUM($H326:$I326)</f>
        <v>3000000</v>
      </c>
      <c r="M326" s="184"/>
    </row>
    <row r="327" spans="1:13" s="9" customFormat="1" x14ac:dyDescent="0.25">
      <c r="A327" s="39" t="s">
        <v>527</v>
      </c>
      <c r="B327" s="17" t="s">
        <v>38</v>
      </c>
      <c r="C327" s="18" t="s">
        <v>39</v>
      </c>
      <c r="D327" s="19">
        <v>0</v>
      </c>
      <c r="E327" s="20" t="s">
        <v>1</v>
      </c>
      <c r="F327" s="19">
        <v>0</v>
      </c>
      <c r="G327" s="19">
        <f>G328</f>
        <v>30000000</v>
      </c>
      <c r="H327" s="19">
        <f>H328</f>
        <v>0</v>
      </c>
      <c r="I327" s="19">
        <f>I328</f>
        <v>0</v>
      </c>
      <c r="J327" s="19">
        <f>J328</f>
        <v>30000000</v>
      </c>
      <c r="M327" s="184"/>
    </row>
    <row r="328" spans="1:13" ht="25.5" x14ac:dyDescent="0.25">
      <c r="A328" s="40" t="s">
        <v>861</v>
      </c>
      <c r="B328" s="29" t="s">
        <v>1</v>
      </c>
      <c r="C328" s="30" t="s">
        <v>134</v>
      </c>
      <c r="D328" s="31">
        <v>1</v>
      </c>
      <c r="E328" s="32" t="s">
        <v>16</v>
      </c>
      <c r="F328" s="31">
        <v>30000000</v>
      </c>
      <c r="G328" s="31">
        <f>ROUNDDOWN($D328*$F328,-3)</f>
        <v>30000000</v>
      </c>
      <c r="H328" s="31">
        <v>0</v>
      </c>
      <c r="I328" s="31">
        <f>SUMIF(dd_kuitansi[MAK],$A328,dd_kuitansi[Jumlah])</f>
        <v>0</v>
      </c>
      <c r="J328" s="31">
        <f>$G328-SUM($H328:$I328)</f>
        <v>30000000</v>
      </c>
    </row>
    <row r="329" spans="1:13" x14ac:dyDescent="0.25">
      <c r="A329" s="40" t="s">
        <v>528</v>
      </c>
      <c r="B329" s="17" t="s">
        <v>46</v>
      </c>
      <c r="C329" s="18" t="s">
        <v>47</v>
      </c>
      <c r="D329" s="19">
        <v>0</v>
      </c>
      <c r="E329" s="20" t="s">
        <v>1</v>
      </c>
      <c r="F329" s="19">
        <v>0</v>
      </c>
      <c r="G329" s="19">
        <f>G330</f>
        <v>15000000</v>
      </c>
      <c r="H329" s="19">
        <f>H330</f>
        <v>0</v>
      </c>
      <c r="I329" s="19">
        <f>I330</f>
        <v>0</v>
      </c>
      <c r="J329" s="19">
        <f>J330</f>
        <v>15000000</v>
      </c>
    </row>
    <row r="330" spans="1:13" x14ac:dyDescent="0.25">
      <c r="A330" s="40" t="s">
        <v>862</v>
      </c>
      <c r="B330" s="29" t="s">
        <v>1</v>
      </c>
      <c r="C330" s="30" t="s">
        <v>48</v>
      </c>
      <c r="D330" s="31">
        <v>15</v>
      </c>
      <c r="E330" s="32" t="s">
        <v>49</v>
      </c>
      <c r="F330" s="31">
        <v>1000000</v>
      </c>
      <c r="G330" s="31">
        <f>ROUNDDOWN($D330*$F330,-3)</f>
        <v>15000000</v>
      </c>
      <c r="H330" s="31">
        <v>0</v>
      </c>
      <c r="I330" s="31">
        <f>SUMIF(dd_kuitansi[MAK],$A330,dd_kuitansi[Jumlah])</f>
        <v>0</v>
      </c>
      <c r="J330" s="31">
        <f>$G330-SUM($H330:$I330)</f>
        <v>15000000</v>
      </c>
    </row>
    <row r="331" spans="1:13" x14ac:dyDescent="0.25">
      <c r="A331" s="40" t="s">
        <v>529</v>
      </c>
      <c r="B331" s="17" t="s">
        <v>104</v>
      </c>
      <c r="C331" s="18" t="s">
        <v>105</v>
      </c>
      <c r="D331" s="19">
        <v>0</v>
      </c>
      <c r="E331" s="20" t="s">
        <v>1</v>
      </c>
      <c r="F331" s="19">
        <v>0</v>
      </c>
      <c r="G331" s="19">
        <f>G332</f>
        <v>1500000</v>
      </c>
      <c r="H331" s="19">
        <f>H332</f>
        <v>0</v>
      </c>
      <c r="I331" s="19">
        <f>I332</f>
        <v>0</v>
      </c>
      <c r="J331" s="19">
        <f>J332</f>
        <v>1500000</v>
      </c>
    </row>
    <row r="332" spans="1:13" x14ac:dyDescent="0.25">
      <c r="A332" s="40" t="s">
        <v>863</v>
      </c>
      <c r="B332" s="29" t="s">
        <v>1</v>
      </c>
      <c r="C332" s="30" t="s">
        <v>106</v>
      </c>
      <c r="D332" s="31">
        <v>10</v>
      </c>
      <c r="E332" s="32" t="s">
        <v>36</v>
      </c>
      <c r="F332" s="31">
        <v>150000</v>
      </c>
      <c r="G332" s="31">
        <f>ROUNDDOWN($D332*$F332,-3)</f>
        <v>1500000</v>
      </c>
      <c r="H332" s="31">
        <v>0</v>
      </c>
      <c r="I332" s="31">
        <f>SUMIF(dd_kuitansi[MAK],$A332,dd_kuitansi[Jumlah])</f>
        <v>0</v>
      </c>
      <c r="J332" s="31">
        <f>$G332-SUM($H332:$I332)</f>
        <v>1500000</v>
      </c>
    </row>
    <row r="333" spans="1:13" s="9" customFormat="1" x14ac:dyDescent="0.25">
      <c r="A333" s="39" t="s">
        <v>530</v>
      </c>
      <c r="B333" s="17" t="s">
        <v>54</v>
      </c>
      <c r="C333" s="18" t="s">
        <v>55</v>
      </c>
      <c r="D333" s="19">
        <v>0</v>
      </c>
      <c r="E333" s="20" t="s">
        <v>1</v>
      </c>
      <c r="F333" s="19">
        <v>0</v>
      </c>
      <c r="G333" s="19">
        <f>G334</f>
        <v>45000000</v>
      </c>
      <c r="H333" s="19">
        <f>H334</f>
        <v>0</v>
      </c>
      <c r="I333" s="19">
        <f>I334</f>
        <v>0</v>
      </c>
      <c r="J333" s="19">
        <f>J334</f>
        <v>45000000</v>
      </c>
      <c r="M333" s="184"/>
    </row>
    <row r="334" spans="1:13" x14ac:dyDescent="0.25">
      <c r="A334" s="40"/>
      <c r="B334" s="29" t="s">
        <v>1</v>
      </c>
      <c r="C334" s="33" t="s">
        <v>90</v>
      </c>
      <c r="D334" s="31">
        <v>0</v>
      </c>
      <c r="E334" s="32" t="s">
        <v>1</v>
      </c>
      <c r="F334" s="31">
        <v>0</v>
      </c>
      <c r="G334" s="31">
        <f>SUM(G335:G337)</f>
        <v>45000000</v>
      </c>
      <c r="H334" s="31">
        <f>SUM(H335:H337)</f>
        <v>0</v>
      </c>
      <c r="I334" s="31">
        <f>SUM(I335:I337)</f>
        <v>0</v>
      </c>
      <c r="J334" s="31">
        <f>SUM(J335:J337)</f>
        <v>45000000</v>
      </c>
    </row>
    <row r="335" spans="1:13" s="9" customFormat="1" x14ac:dyDescent="0.25">
      <c r="A335" s="39" t="s">
        <v>864</v>
      </c>
      <c r="B335" s="29" t="s">
        <v>1</v>
      </c>
      <c r="C335" s="30" t="s">
        <v>56</v>
      </c>
      <c r="D335" s="31">
        <v>15</v>
      </c>
      <c r="E335" s="32" t="s">
        <v>36</v>
      </c>
      <c r="F335" s="31">
        <v>300000</v>
      </c>
      <c r="G335" s="31">
        <f>ROUNDDOWN($D335*$F335,-3)</f>
        <v>4500000</v>
      </c>
      <c r="H335" s="31">
        <v>0</v>
      </c>
      <c r="I335" s="31">
        <f>SUMIF(dd_kuitansi[MAK],$A335,dd_kuitansi[Jumlah])</f>
        <v>0</v>
      </c>
      <c r="J335" s="31">
        <f>$G335-SUM($H335:$I335)</f>
        <v>4500000</v>
      </c>
      <c r="M335" s="184"/>
    </row>
    <row r="336" spans="1:13" x14ac:dyDescent="0.25">
      <c r="A336" s="40" t="s">
        <v>865</v>
      </c>
      <c r="B336" s="29" t="s">
        <v>1</v>
      </c>
      <c r="C336" s="30" t="s">
        <v>57</v>
      </c>
      <c r="D336" s="31">
        <v>150</v>
      </c>
      <c r="E336" s="32" t="s">
        <v>36</v>
      </c>
      <c r="F336" s="31">
        <v>250000</v>
      </c>
      <c r="G336" s="31">
        <f>ROUNDDOWN($D336*$F336,-3)</f>
        <v>37500000</v>
      </c>
      <c r="H336" s="31">
        <v>0</v>
      </c>
      <c r="I336" s="31">
        <f>SUMIF(dd_kuitansi[MAK],$A336,dd_kuitansi[Jumlah])</f>
        <v>0</v>
      </c>
      <c r="J336" s="31">
        <f>$G336-SUM($H336:$I336)</f>
        <v>37500000</v>
      </c>
    </row>
    <row r="337" spans="1:13" s="9" customFormat="1" x14ac:dyDescent="0.25">
      <c r="A337" s="39" t="s">
        <v>866</v>
      </c>
      <c r="B337" s="29" t="s">
        <v>1</v>
      </c>
      <c r="C337" s="30" t="s">
        <v>58</v>
      </c>
      <c r="D337" s="31">
        <v>15</v>
      </c>
      <c r="E337" s="32" t="s">
        <v>36</v>
      </c>
      <c r="F337" s="31">
        <v>200000</v>
      </c>
      <c r="G337" s="31">
        <f>ROUNDDOWN($D337*$F337,-3)</f>
        <v>3000000</v>
      </c>
      <c r="H337" s="31">
        <v>0</v>
      </c>
      <c r="I337" s="31">
        <f>SUMIF(dd_kuitansi[MAK],$A337,dd_kuitansi[Jumlah])</f>
        <v>0</v>
      </c>
      <c r="J337" s="31">
        <f>$G337-SUM($H337:$I337)</f>
        <v>3000000</v>
      </c>
      <c r="M337" s="184"/>
    </row>
    <row r="338" spans="1:13" x14ac:dyDescent="0.25">
      <c r="A338" s="40" t="s">
        <v>411</v>
      </c>
      <c r="B338" s="25" t="s">
        <v>111</v>
      </c>
      <c r="C338" s="26" t="s">
        <v>135</v>
      </c>
      <c r="D338" s="27">
        <v>0</v>
      </c>
      <c r="E338" s="28" t="s">
        <v>1</v>
      </c>
      <c r="F338" s="27">
        <v>0</v>
      </c>
      <c r="G338" s="27">
        <f>SUM(G339,G345,G347,G349,G351,G353)</f>
        <v>651846000</v>
      </c>
      <c r="H338" s="27">
        <f>SUM(H339,H345,H347,H349,H351,H353)</f>
        <v>0</v>
      </c>
      <c r="I338" s="27">
        <f>SUM(I339,I345,I347,I349,I351,I353)</f>
        <v>0</v>
      </c>
      <c r="J338" s="27">
        <f>SUM(J339,J345,J347,J349,J351,J353)</f>
        <v>651846000</v>
      </c>
    </row>
    <row r="339" spans="1:13" s="9" customFormat="1" x14ac:dyDescent="0.25">
      <c r="A339" s="39" t="s">
        <v>531</v>
      </c>
      <c r="B339" s="17" t="s">
        <v>33</v>
      </c>
      <c r="C339" s="18" t="s">
        <v>34</v>
      </c>
      <c r="D339" s="19">
        <v>0</v>
      </c>
      <c r="E339" s="20" t="s">
        <v>1</v>
      </c>
      <c r="F339" s="19">
        <v>0</v>
      </c>
      <c r="G339" s="19">
        <f>SUM(G340:G344)</f>
        <v>52200000</v>
      </c>
      <c r="H339" s="19">
        <f>SUM(H340:H344)</f>
        <v>0</v>
      </c>
      <c r="I339" s="19">
        <f>SUM(I340:I344)</f>
        <v>0</v>
      </c>
      <c r="J339" s="19">
        <f>SUM(J340:J344)</f>
        <v>52200000</v>
      </c>
      <c r="M339" s="184"/>
    </row>
    <row r="340" spans="1:13" x14ac:dyDescent="0.25">
      <c r="A340" s="40" t="s">
        <v>867</v>
      </c>
      <c r="B340" s="29" t="s">
        <v>1</v>
      </c>
      <c r="C340" s="30" t="s">
        <v>35</v>
      </c>
      <c r="D340" s="31">
        <v>300</v>
      </c>
      <c r="E340" s="32" t="s">
        <v>36</v>
      </c>
      <c r="F340" s="31">
        <v>69000</v>
      </c>
      <c r="G340" s="31">
        <f>ROUNDDOWN($D340*$F340,-3)</f>
        <v>20700000</v>
      </c>
      <c r="H340" s="31">
        <v>0</v>
      </c>
      <c r="I340" s="31">
        <f>SUMIF(dd_kuitansi[MAK],$A340,dd_kuitansi[Jumlah])</f>
        <v>0</v>
      </c>
      <c r="J340" s="31">
        <f>$G340-SUM($H340:$I340)</f>
        <v>20700000</v>
      </c>
    </row>
    <row r="341" spans="1:13" x14ac:dyDescent="0.25">
      <c r="A341" s="40" t="s">
        <v>868</v>
      </c>
      <c r="B341" s="29" t="s">
        <v>1</v>
      </c>
      <c r="C341" s="30" t="s">
        <v>37</v>
      </c>
      <c r="D341" s="31">
        <v>7</v>
      </c>
      <c r="E341" s="32" t="s">
        <v>16</v>
      </c>
      <c r="F341" s="31">
        <v>1500000</v>
      </c>
      <c r="G341" s="31">
        <f>ROUNDDOWN($D341*$F341,-3)</f>
        <v>10500000</v>
      </c>
      <c r="H341" s="31">
        <v>0</v>
      </c>
      <c r="I341" s="31">
        <f>SUMIF(dd_kuitansi[MAK],$A341,dd_kuitansi[Jumlah])</f>
        <v>0</v>
      </c>
      <c r="J341" s="31">
        <f>$G341-SUM($H341:$I341)</f>
        <v>10500000</v>
      </c>
    </row>
    <row r="342" spans="1:13" x14ac:dyDescent="0.25">
      <c r="A342" s="40" t="s">
        <v>869</v>
      </c>
      <c r="B342" s="29" t="s">
        <v>1</v>
      </c>
      <c r="C342" s="30" t="s">
        <v>133</v>
      </c>
      <c r="D342" s="31">
        <v>7</v>
      </c>
      <c r="E342" s="32" t="s">
        <v>16</v>
      </c>
      <c r="F342" s="31">
        <v>500000</v>
      </c>
      <c r="G342" s="31">
        <f>ROUNDDOWN($D342*$F342,-3)</f>
        <v>3500000</v>
      </c>
      <c r="H342" s="31">
        <v>0</v>
      </c>
      <c r="I342" s="31">
        <f>SUMIF(dd_kuitansi[MAK],$A342,dd_kuitansi[Jumlah])</f>
        <v>0</v>
      </c>
      <c r="J342" s="31">
        <f>$G342-SUM($H342:$I342)</f>
        <v>3500000</v>
      </c>
    </row>
    <row r="343" spans="1:13" x14ac:dyDescent="0.25">
      <c r="A343" s="40" t="s">
        <v>870</v>
      </c>
      <c r="B343" s="29" t="s">
        <v>1</v>
      </c>
      <c r="C343" s="30" t="s">
        <v>45</v>
      </c>
      <c r="D343" s="31">
        <v>7</v>
      </c>
      <c r="E343" s="32" t="s">
        <v>16</v>
      </c>
      <c r="F343" s="31">
        <v>1000000</v>
      </c>
      <c r="G343" s="31">
        <f>ROUNDDOWN($D343*$F343,-3)</f>
        <v>7000000</v>
      </c>
      <c r="H343" s="31">
        <v>0</v>
      </c>
      <c r="I343" s="31">
        <f>SUMIF(dd_kuitansi[MAK],$A343,dd_kuitansi[Jumlah])</f>
        <v>0</v>
      </c>
      <c r="J343" s="31">
        <f>$G343-SUM($H343:$I343)</f>
        <v>7000000</v>
      </c>
    </row>
    <row r="344" spans="1:13" s="9" customFormat="1" x14ac:dyDescent="0.25">
      <c r="A344" s="39" t="s">
        <v>871</v>
      </c>
      <c r="B344" s="29" t="s">
        <v>1</v>
      </c>
      <c r="C344" s="30" t="s">
        <v>136</v>
      </c>
      <c r="D344" s="31">
        <v>7</v>
      </c>
      <c r="E344" s="32" t="s">
        <v>16</v>
      </c>
      <c r="F344" s="31">
        <v>1500000</v>
      </c>
      <c r="G344" s="31">
        <f>ROUNDDOWN($D344*$F344,-3)</f>
        <v>10500000</v>
      </c>
      <c r="H344" s="31">
        <v>0</v>
      </c>
      <c r="I344" s="31">
        <f>SUMIF(dd_kuitansi[MAK],$A344,dd_kuitansi[Jumlah])</f>
        <v>0</v>
      </c>
      <c r="J344" s="31">
        <f>$G344-SUM($H344:$I344)</f>
        <v>10500000</v>
      </c>
      <c r="M344" s="184"/>
    </row>
    <row r="345" spans="1:13" s="9" customFormat="1" x14ac:dyDescent="0.25">
      <c r="A345" s="39" t="s">
        <v>532</v>
      </c>
      <c r="B345" s="17" t="s">
        <v>38</v>
      </c>
      <c r="C345" s="18" t="s">
        <v>39</v>
      </c>
      <c r="D345" s="19">
        <v>0</v>
      </c>
      <c r="E345" s="20" t="s">
        <v>1</v>
      </c>
      <c r="F345" s="19">
        <v>0</v>
      </c>
      <c r="G345" s="19">
        <f>G346</f>
        <v>320000000</v>
      </c>
      <c r="H345" s="19">
        <f>H346</f>
        <v>0</v>
      </c>
      <c r="I345" s="19">
        <f>I346</f>
        <v>0</v>
      </c>
      <c r="J345" s="19">
        <f>J346</f>
        <v>320000000</v>
      </c>
      <c r="M345" s="184"/>
    </row>
    <row r="346" spans="1:13" ht="25.5" x14ac:dyDescent="0.25">
      <c r="A346" s="40" t="s">
        <v>872</v>
      </c>
      <c r="B346" s="29" t="s">
        <v>1</v>
      </c>
      <c r="C346" s="30" t="s">
        <v>137</v>
      </c>
      <c r="D346" s="31">
        <v>1</v>
      </c>
      <c r="E346" s="32" t="s">
        <v>101</v>
      </c>
      <c r="F346" s="31">
        <v>320000000</v>
      </c>
      <c r="G346" s="31">
        <f>ROUNDDOWN($D346*$F346,-3)</f>
        <v>320000000</v>
      </c>
      <c r="H346" s="31">
        <v>0</v>
      </c>
      <c r="I346" s="31">
        <f>SUMIF(dd_kuitansi[MAK],$A346,dd_kuitansi[Jumlah])</f>
        <v>0</v>
      </c>
      <c r="J346" s="31">
        <f>$G346-SUM($H346:$I346)</f>
        <v>320000000</v>
      </c>
    </row>
    <row r="347" spans="1:13" x14ac:dyDescent="0.25">
      <c r="A347" s="40" t="s">
        <v>533</v>
      </c>
      <c r="B347" s="17" t="s">
        <v>46</v>
      </c>
      <c r="C347" s="18" t="s">
        <v>47</v>
      </c>
      <c r="D347" s="19">
        <v>0</v>
      </c>
      <c r="E347" s="20" t="s">
        <v>1</v>
      </c>
      <c r="F347" s="19">
        <v>0</v>
      </c>
      <c r="G347" s="19">
        <f>G348</f>
        <v>50000000</v>
      </c>
      <c r="H347" s="19">
        <f>H348</f>
        <v>0</v>
      </c>
      <c r="I347" s="19">
        <f>I348</f>
        <v>0</v>
      </c>
      <c r="J347" s="19">
        <f>J348</f>
        <v>50000000</v>
      </c>
    </row>
    <row r="348" spans="1:13" x14ac:dyDescent="0.25">
      <c r="A348" s="40" t="s">
        <v>873</v>
      </c>
      <c r="B348" s="29" t="s">
        <v>1</v>
      </c>
      <c r="C348" s="30" t="s">
        <v>48</v>
      </c>
      <c r="D348" s="31">
        <v>50</v>
      </c>
      <c r="E348" s="32" t="s">
        <v>49</v>
      </c>
      <c r="F348" s="31">
        <v>1000000</v>
      </c>
      <c r="G348" s="31">
        <f>ROUNDDOWN($D348*$F348,-3)</f>
        <v>50000000</v>
      </c>
      <c r="H348" s="31">
        <v>0</v>
      </c>
      <c r="I348" s="31">
        <f>SUMIF(dd_kuitansi[MAK],$A348,dd_kuitansi[Jumlah])</f>
        <v>0</v>
      </c>
      <c r="J348" s="31">
        <f>$G348-SUM($H348:$I348)</f>
        <v>50000000</v>
      </c>
    </row>
    <row r="349" spans="1:13" x14ac:dyDescent="0.25">
      <c r="A349" s="40" t="s">
        <v>534</v>
      </c>
      <c r="B349" s="17" t="s">
        <v>50</v>
      </c>
      <c r="C349" s="18" t="s">
        <v>51</v>
      </c>
      <c r="D349" s="19">
        <v>0</v>
      </c>
      <c r="E349" s="20" t="s">
        <v>1</v>
      </c>
      <c r="F349" s="19">
        <v>0</v>
      </c>
      <c r="G349" s="19">
        <f>G350</f>
        <v>192146000</v>
      </c>
      <c r="H349" s="19">
        <f>H350</f>
        <v>0</v>
      </c>
      <c r="I349" s="19">
        <f>I350</f>
        <v>0</v>
      </c>
      <c r="J349" s="19">
        <f>J350</f>
        <v>192146000</v>
      </c>
    </row>
    <row r="350" spans="1:13" ht="25.5" x14ac:dyDescent="0.25">
      <c r="A350" s="40" t="s">
        <v>874</v>
      </c>
      <c r="B350" s="29" t="s">
        <v>1</v>
      </c>
      <c r="C350" s="30" t="s">
        <v>138</v>
      </c>
      <c r="D350" s="31">
        <v>40</v>
      </c>
      <c r="E350" s="32" t="s">
        <v>36</v>
      </c>
      <c r="F350" s="31">
        <v>4803650</v>
      </c>
      <c r="G350" s="31">
        <f>ROUNDDOWN($D350*$F350,-3)</f>
        <v>192146000</v>
      </c>
      <c r="H350" s="31">
        <v>0</v>
      </c>
      <c r="I350" s="31">
        <f>SUMIF(dd_kuitansi[MAK],$A350,dd_kuitansi[Jumlah])</f>
        <v>0</v>
      </c>
      <c r="J350" s="31">
        <f>$G350-SUM($H350:$I350)</f>
        <v>192146000</v>
      </c>
    </row>
    <row r="351" spans="1:13" s="9" customFormat="1" x14ac:dyDescent="0.25">
      <c r="A351" s="39" t="s">
        <v>535</v>
      </c>
      <c r="B351" s="17" t="s">
        <v>104</v>
      </c>
      <c r="C351" s="18" t="s">
        <v>105</v>
      </c>
      <c r="D351" s="19">
        <v>0</v>
      </c>
      <c r="E351" s="20" t="s">
        <v>1</v>
      </c>
      <c r="F351" s="19">
        <v>0</v>
      </c>
      <c r="G351" s="19">
        <f>G352</f>
        <v>7500000</v>
      </c>
      <c r="H351" s="19">
        <f>H352</f>
        <v>0</v>
      </c>
      <c r="I351" s="19">
        <f>I352</f>
        <v>0</v>
      </c>
      <c r="J351" s="19">
        <f>J352</f>
        <v>7500000</v>
      </c>
      <c r="M351" s="184"/>
    </row>
    <row r="352" spans="1:13" x14ac:dyDescent="0.25">
      <c r="A352" s="40" t="s">
        <v>875</v>
      </c>
      <c r="B352" s="29" t="s">
        <v>1</v>
      </c>
      <c r="C352" s="30" t="s">
        <v>106</v>
      </c>
      <c r="D352" s="31">
        <v>50</v>
      </c>
      <c r="E352" s="32" t="s">
        <v>36</v>
      </c>
      <c r="F352" s="31">
        <v>150000</v>
      </c>
      <c r="G352" s="31">
        <f>ROUNDDOWN($D352*$F352,-3)</f>
        <v>7500000</v>
      </c>
      <c r="H352" s="31">
        <v>0</v>
      </c>
      <c r="I352" s="31">
        <f>SUMIF(dd_kuitansi[MAK],$A352,dd_kuitansi[Jumlah])</f>
        <v>0</v>
      </c>
      <c r="J352" s="31">
        <f>$G352-SUM($H352:$I352)</f>
        <v>7500000</v>
      </c>
    </row>
    <row r="353" spans="1:13" s="9" customFormat="1" x14ac:dyDescent="0.25">
      <c r="A353" s="39" t="s">
        <v>536</v>
      </c>
      <c r="B353" s="17" t="s">
        <v>54</v>
      </c>
      <c r="C353" s="18" t="s">
        <v>55</v>
      </c>
      <c r="D353" s="19">
        <v>0</v>
      </c>
      <c r="E353" s="20" t="s">
        <v>1</v>
      </c>
      <c r="F353" s="19">
        <v>0</v>
      </c>
      <c r="G353" s="19">
        <f>G354</f>
        <v>30000000</v>
      </c>
      <c r="H353" s="19">
        <f>H354</f>
        <v>0</v>
      </c>
      <c r="I353" s="19">
        <f>I354</f>
        <v>0</v>
      </c>
      <c r="J353" s="19">
        <f>J354</f>
        <v>30000000</v>
      </c>
      <c r="M353" s="184"/>
    </row>
    <row r="354" spans="1:13" x14ac:dyDescent="0.25">
      <c r="A354" s="40"/>
      <c r="B354" s="29" t="s">
        <v>1</v>
      </c>
      <c r="C354" s="33" t="s">
        <v>90</v>
      </c>
      <c r="D354" s="31">
        <v>0</v>
      </c>
      <c r="E354" s="32" t="s">
        <v>1</v>
      </c>
      <c r="F354" s="31">
        <v>0</v>
      </c>
      <c r="G354" s="31">
        <f>SUM(G355:G357)</f>
        <v>30000000</v>
      </c>
      <c r="H354" s="31">
        <f>SUM(H355:H357)</f>
        <v>0</v>
      </c>
      <c r="I354" s="31">
        <f>SUM(I355:I357)</f>
        <v>0</v>
      </c>
      <c r="J354" s="31">
        <f>SUM(J355:J357)</f>
        <v>30000000</v>
      </c>
    </row>
    <row r="355" spans="1:13" s="9" customFormat="1" x14ac:dyDescent="0.25">
      <c r="A355" s="39" t="s">
        <v>876</v>
      </c>
      <c r="B355" s="29" t="s">
        <v>1</v>
      </c>
      <c r="C355" s="30" t="s">
        <v>56</v>
      </c>
      <c r="D355" s="31">
        <v>10</v>
      </c>
      <c r="E355" s="32" t="s">
        <v>36</v>
      </c>
      <c r="F355" s="31">
        <v>300000</v>
      </c>
      <c r="G355" s="31">
        <f>ROUNDDOWN($D355*$F355,-3)</f>
        <v>3000000</v>
      </c>
      <c r="H355" s="31">
        <v>0</v>
      </c>
      <c r="I355" s="31">
        <f>SUMIF(dd_kuitansi[MAK],$A355,dd_kuitansi[Jumlah])</f>
        <v>0</v>
      </c>
      <c r="J355" s="31">
        <f>$G355-SUM($H355:$I355)</f>
        <v>3000000</v>
      </c>
      <c r="M355" s="184"/>
    </row>
    <row r="356" spans="1:13" x14ac:dyDescent="0.25">
      <c r="A356" s="40" t="s">
        <v>877</v>
      </c>
      <c r="B356" s="29" t="s">
        <v>1</v>
      </c>
      <c r="C356" s="30" t="s">
        <v>57</v>
      </c>
      <c r="D356" s="31">
        <v>100</v>
      </c>
      <c r="E356" s="32" t="s">
        <v>36</v>
      </c>
      <c r="F356" s="31">
        <v>250000</v>
      </c>
      <c r="G356" s="31">
        <f>ROUNDDOWN($D356*$F356,-3)</f>
        <v>25000000</v>
      </c>
      <c r="H356" s="31">
        <v>0</v>
      </c>
      <c r="I356" s="31">
        <f>SUMIF(dd_kuitansi[MAK],$A356,dd_kuitansi[Jumlah])</f>
        <v>0</v>
      </c>
      <c r="J356" s="31">
        <f>$G356-SUM($H356:$I356)</f>
        <v>25000000</v>
      </c>
    </row>
    <row r="357" spans="1:13" s="9" customFormat="1" x14ac:dyDescent="0.25">
      <c r="A357" s="39" t="s">
        <v>878</v>
      </c>
      <c r="B357" s="29" t="s">
        <v>1</v>
      </c>
      <c r="C357" s="30" t="s">
        <v>58</v>
      </c>
      <c r="D357" s="31">
        <v>10</v>
      </c>
      <c r="E357" s="32" t="s">
        <v>36</v>
      </c>
      <c r="F357" s="31">
        <v>200000</v>
      </c>
      <c r="G357" s="31">
        <f>ROUNDDOWN($D357*$F357,-3)</f>
        <v>2000000</v>
      </c>
      <c r="H357" s="31">
        <v>0</v>
      </c>
      <c r="I357" s="31">
        <f>SUMIF(dd_kuitansi[MAK],$A357,dd_kuitansi[Jumlah])</f>
        <v>0</v>
      </c>
      <c r="J357" s="31">
        <f>$G357-SUM($H357:$I357)</f>
        <v>2000000</v>
      </c>
      <c r="M357" s="184"/>
    </row>
    <row r="358" spans="1:13" x14ac:dyDescent="0.25">
      <c r="A358" s="40" t="s">
        <v>412</v>
      </c>
      <c r="B358" s="25" t="s">
        <v>114</v>
      </c>
      <c r="C358" s="26" t="s">
        <v>139</v>
      </c>
      <c r="D358" s="27">
        <v>0</v>
      </c>
      <c r="E358" s="28" t="s">
        <v>1</v>
      </c>
      <c r="F358" s="27">
        <v>0</v>
      </c>
      <c r="G358" s="27">
        <f>SUM(G359,G365,G367,G369,G371,G373)</f>
        <v>109900000</v>
      </c>
      <c r="H358" s="27">
        <f>SUM(H359,H365,H367,H369,H371,H373)</f>
        <v>0</v>
      </c>
      <c r="I358" s="27">
        <f>SUM(I359,I365,I367,I369,I371,I373)</f>
        <v>0</v>
      </c>
      <c r="J358" s="27">
        <f>SUM(J359,J365,J367,J369,J371,J373)</f>
        <v>109900000</v>
      </c>
    </row>
    <row r="359" spans="1:13" s="9" customFormat="1" x14ac:dyDescent="0.25">
      <c r="A359" s="39" t="s">
        <v>537</v>
      </c>
      <c r="B359" s="17" t="s">
        <v>33</v>
      </c>
      <c r="C359" s="18" t="s">
        <v>34</v>
      </c>
      <c r="D359" s="19">
        <v>0</v>
      </c>
      <c r="E359" s="20" t="s">
        <v>1</v>
      </c>
      <c r="F359" s="19">
        <v>0</v>
      </c>
      <c r="G359" s="19">
        <f>SUM(G360:G364)</f>
        <v>15900000</v>
      </c>
      <c r="H359" s="19">
        <f>SUM(H360:H364)</f>
        <v>0</v>
      </c>
      <c r="I359" s="19">
        <f>SUM(I360:I364)</f>
        <v>0</v>
      </c>
      <c r="J359" s="19">
        <f>SUM(J360:J364)</f>
        <v>15900000</v>
      </c>
      <c r="M359" s="184"/>
    </row>
    <row r="360" spans="1:13" x14ac:dyDescent="0.25">
      <c r="A360" s="40" t="s">
        <v>879</v>
      </c>
      <c r="B360" s="29" t="s">
        <v>1</v>
      </c>
      <c r="C360" s="30" t="s">
        <v>35</v>
      </c>
      <c r="D360" s="31">
        <v>100</v>
      </c>
      <c r="E360" s="32" t="s">
        <v>36</v>
      </c>
      <c r="F360" s="31">
        <v>69000</v>
      </c>
      <c r="G360" s="31">
        <f>ROUNDDOWN($D360*$F360,-3)</f>
        <v>6900000</v>
      </c>
      <c r="H360" s="31">
        <v>0</v>
      </c>
      <c r="I360" s="31">
        <f>SUMIF(dd_kuitansi[MAK],$A360,dd_kuitansi[Jumlah])</f>
        <v>0</v>
      </c>
      <c r="J360" s="31">
        <f>$G360-SUM($H360:$I360)</f>
        <v>6900000</v>
      </c>
    </row>
    <row r="361" spans="1:13" x14ac:dyDescent="0.25">
      <c r="A361" s="40" t="s">
        <v>880</v>
      </c>
      <c r="B361" s="29" t="s">
        <v>1</v>
      </c>
      <c r="C361" s="30" t="s">
        <v>37</v>
      </c>
      <c r="D361" s="31">
        <v>2</v>
      </c>
      <c r="E361" s="32" t="s">
        <v>16</v>
      </c>
      <c r="F361" s="31">
        <v>1500000</v>
      </c>
      <c r="G361" s="31">
        <f>ROUNDDOWN($D361*$F361,-3)</f>
        <v>3000000</v>
      </c>
      <c r="H361" s="31">
        <v>0</v>
      </c>
      <c r="I361" s="31">
        <f>SUMIF(dd_kuitansi[MAK],$A361,dd_kuitansi[Jumlah])</f>
        <v>0</v>
      </c>
      <c r="J361" s="31">
        <f>$G361-SUM($H361:$I361)</f>
        <v>3000000</v>
      </c>
    </row>
    <row r="362" spans="1:13" x14ac:dyDescent="0.25">
      <c r="A362" s="40" t="s">
        <v>881</v>
      </c>
      <c r="B362" s="29" t="s">
        <v>1</v>
      </c>
      <c r="C362" s="30" t="s">
        <v>133</v>
      </c>
      <c r="D362" s="31">
        <v>2</v>
      </c>
      <c r="E362" s="32" t="s">
        <v>16</v>
      </c>
      <c r="F362" s="31">
        <v>500000</v>
      </c>
      <c r="G362" s="31">
        <f>ROUNDDOWN($D362*$F362,-3)</f>
        <v>1000000</v>
      </c>
      <c r="H362" s="31">
        <v>0</v>
      </c>
      <c r="I362" s="31">
        <f>SUMIF(dd_kuitansi[MAK],$A362,dd_kuitansi[Jumlah])</f>
        <v>0</v>
      </c>
      <c r="J362" s="31">
        <f>$G362-SUM($H362:$I362)</f>
        <v>1000000</v>
      </c>
    </row>
    <row r="363" spans="1:13" x14ac:dyDescent="0.25">
      <c r="A363" s="40" t="s">
        <v>882</v>
      </c>
      <c r="B363" s="29" t="s">
        <v>1</v>
      </c>
      <c r="C363" s="30" t="s">
        <v>45</v>
      </c>
      <c r="D363" s="31">
        <v>2</v>
      </c>
      <c r="E363" s="32" t="s">
        <v>16</v>
      </c>
      <c r="F363" s="31">
        <v>1000000</v>
      </c>
      <c r="G363" s="31">
        <f>ROUNDDOWN($D363*$F363,-3)</f>
        <v>2000000</v>
      </c>
      <c r="H363" s="31">
        <v>0</v>
      </c>
      <c r="I363" s="31">
        <f>SUMIF(dd_kuitansi[MAK],$A363,dd_kuitansi[Jumlah])</f>
        <v>0</v>
      </c>
      <c r="J363" s="31">
        <f>$G363-SUM($H363:$I363)</f>
        <v>2000000</v>
      </c>
    </row>
    <row r="364" spans="1:13" s="9" customFormat="1" x14ac:dyDescent="0.25">
      <c r="A364" s="39" t="s">
        <v>883</v>
      </c>
      <c r="B364" s="29" t="s">
        <v>1</v>
      </c>
      <c r="C364" s="30" t="s">
        <v>43</v>
      </c>
      <c r="D364" s="31">
        <v>2</v>
      </c>
      <c r="E364" s="32" t="s">
        <v>16</v>
      </c>
      <c r="F364" s="31">
        <v>1500000</v>
      </c>
      <c r="G364" s="31">
        <f>ROUNDDOWN($D364*$F364,-3)</f>
        <v>3000000</v>
      </c>
      <c r="H364" s="31">
        <v>0</v>
      </c>
      <c r="I364" s="31">
        <f>SUMIF(dd_kuitansi[MAK],$A364,dd_kuitansi[Jumlah])</f>
        <v>0</v>
      </c>
      <c r="J364" s="31">
        <f>$G364-SUM($H364:$I364)</f>
        <v>3000000</v>
      </c>
      <c r="M364" s="184"/>
    </row>
    <row r="365" spans="1:13" s="9" customFormat="1" x14ac:dyDescent="0.25">
      <c r="A365" s="39" t="s">
        <v>538</v>
      </c>
      <c r="B365" s="17" t="s">
        <v>38</v>
      </c>
      <c r="C365" s="18" t="s">
        <v>39</v>
      </c>
      <c r="D365" s="19">
        <v>0</v>
      </c>
      <c r="E365" s="20" t="s">
        <v>1</v>
      </c>
      <c r="F365" s="19">
        <v>0</v>
      </c>
      <c r="G365" s="19">
        <f>G366</f>
        <v>10000000</v>
      </c>
      <c r="H365" s="19">
        <f>H366</f>
        <v>0</v>
      </c>
      <c r="I365" s="19">
        <f>I366</f>
        <v>0</v>
      </c>
      <c r="J365" s="19">
        <f>J366</f>
        <v>10000000</v>
      </c>
      <c r="M365" s="184"/>
    </row>
    <row r="366" spans="1:13" x14ac:dyDescent="0.25">
      <c r="A366" s="40" t="s">
        <v>884</v>
      </c>
      <c r="B366" s="29" t="s">
        <v>1</v>
      </c>
      <c r="C366" s="30" t="s">
        <v>140</v>
      </c>
      <c r="D366" s="31">
        <v>1</v>
      </c>
      <c r="E366" s="32" t="s">
        <v>141</v>
      </c>
      <c r="F366" s="31">
        <v>10000000</v>
      </c>
      <c r="G366" s="31">
        <f>ROUNDDOWN($D366*$F366,-3)</f>
        <v>10000000</v>
      </c>
      <c r="H366" s="31">
        <v>0</v>
      </c>
      <c r="I366" s="31">
        <f>SUMIF(dd_kuitansi[MAK],$A366,dd_kuitansi[Jumlah])</f>
        <v>0</v>
      </c>
      <c r="J366" s="31">
        <f>$G366-SUM($H366:$I366)</f>
        <v>10000000</v>
      </c>
    </row>
    <row r="367" spans="1:13" x14ac:dyDescent="0.25">
      <c r="A367" s="40" t="s">
        <v>539</v>
      </c>
      <c r="B367" s="17" t="s">
        <v>46</v>
      </c>
      <c r="C367" s="18" t="s">
        <v>47</v>
      </c>
      <c r="D367" s="19">
        <v>0</v>
      </c>
      <c r="E367" s="20" t="s">
        <v>1</v>
      </c>
      <c r="F367" s="19">
        <v>0</v>
      </c>
      <c r="G367" s="19">
        <f>G368</f>
        <v>15000000</v>
      </c>
      <c r="H367" s="19">
        <f>H368</f>
        <v>0</v>
      </c>
      <c r="I367" s="19">
        <f>I368</f>
        <v>0</v>
      </c>
      <c r="J367" s="19">
        <f>J368</f>
        <v>15000000</v>
      </c>
    </row>
    <row r="368" spans="1:13" x14ac:dyDescent="0.25">
      <c r="A368" s="40" t="s">
        <v>885</v>
      </c>
      <c r="B368" s="29" t="s">
        <v>1</v>
      </c>
      <c r="C368" s="30" t="s">
        <v>48</v>
      </c>
      <c r="D368" s="31">
        <v>15</v>
      </c>
      <c r="E368" s="32" t="s">
        <v>49</v>
      </c>
      <c r="F368" s="31">
        <v>1000000</v>
      </c>
      <c r="G368" s="31">
        <f>ROUNDDOWN($D368*$F368,-3)</f>
        <v>15000000</v>
      </c>
      <c r="H368" s="31">
        <v>0</v>
      </c>
      <c r="I368" s="31">
        <f>SUMIF(dd_kuitansi[MAK],$A368,dd_kuitansi[Jumlah])</f>
        <v>0</v>
      </c>
      <c r="J368" s="31">
        <f>$G368-SUM($H368:$I368)</f>
        <v>15000000</v>
      </c>
    </row>
    <row r="369" spans="1:13" x14ac:dyDescent="0.25">
      <c r="A369" s="40" t="s">
        <v>540</v>
      </c>
      <c r="B369" s="17" t="s">
        <v>50</v>
      </c>
      <c r="C369" s="18" t="s">
        <v>51</v>
      </c>
      <c r="D369" s="19">
        <v>0</v>
      </c>
      <c r="E369" s="20" t="s">
        <v>1</v>
      </c>
      <c r="F369" s="19">
        <v>0</v>
      </c>
      <c r="G369" s="19">
        <f>G370</f>
        <v>37500000</v>
      </c>
      <c r="H369" s="19">
        <f>H370</f>
        <v>0</v>
      </c>
      <c r="I369" s="19">
        <f>I370</f>
        <v>0</v>
      </c>
      <c r="J369" s="19">
        <f>J370</f>
        <v>37500000</v>
      </c>
    </row>
    <row r="370" spans="1:13" x14ac:dyDescent="0.25">
      <c r="A370" s="40" t="s">
        <v>886</v>
      </c>
      <c r="B370" s="29" t="s">
        <v>1</v>
      </c>
      <c r="C370" s="30" t="s">
        <v>142</v>
      </c>
      <c r="D370" s="31">
        <v>15</v>
      </c>
      <c r="E370" s="32" t="s">
        <v>36</v>
      </c>
      <c r="F370" s="31">
        <v>2500000</v>
      </c>
      <c r="G370" s="31">
        <f>ROUNDDOWN($D370*$F370,-3)</f>
        <v>37500000</v>
      </c>
      <c r="H370" s="31">
        <v>0</v>
      </c>
      <c r="I370" s="31">
        <f>SUMIF(dd_kuitansi[MAK],$A370,dd_kuitansi[Jumlah])</f>
        <v>0</v>
      </c>
      <c r="J370" s="31">
        <f>$G370-SUM($H370:$I370)</f>
        <v>37500000</v>
      </c>
    </row>
    <row r="371" spans="1:13" s="9" customFormat="1" x14ac:dyDescent="0.25">
      <c r="A371" s="39" t="s">
        <v>541</v>
      </c>
      <c r="B371" s="17" t="s">
        <v>104</v>
      </c>
      <c r="C371" s="18" t="s">
        <v>105</v>
      </c>
      <c r="D371" s="19">
        <v>0</v>
      </c>
      <c r="E371" s="20" t="s">
        <v>1</v>
      </c>
      <c r="F371" s="19">
        <v>0</v>
      </c>
      <c r="G371" s="19">
        <f>G372</f>
        <v>1500000</v>
      </c>
      <c r="H371" s="19">
        <f>H372</f>
        <v>0</v>
      </c>
      <c r="I371" s="19">
        <f>I372</f>
        <v>0</v>
      </c>
      <c r="J371" s="19">
        <f>J372</f>
        <v>1500000</v>
      </c>
      <c r="M371" s="184"/>
    </row>
    <row r="372" spans="1:13" x14ac:dyDescent="0.25">
      <c r="A372" s="40" t="s">
        <v>887</v>
      </c>
      <c r="B372" s="29" t="s">
        <v>1</v>
      </c>
      <c r="C372" s="30" t="s">
        <v>106</v>
      </c>
      <c r="D372" s="31">
        <v>10</v>
      </c>
      <c r="E372" s="32" t="s">
        <v>36</v>
      </c>
      <c r="F372" s="31">
        <v>150000</v>
      </c>
      <c r="G372" s="31">
        <f>ROUNDDOWN($D372*$F372,-3)</f>
        <v>1500000</v>
      </c>
      <c r="H372" s="31">
        <v>0</v>
      </c>
      <c r="I372" s="31">
        <f>SUMIF(dd_kuitansi[MAK],$A372,dd_kuitansi[Jumlah])</f>
        <v>0</v>
      </c>
      <c r="J372" s="31">
        <f>$G372-SUM($H372:$I372)</f>
        <v>1500000</v>
      </c>
    </row>
    <row r="373" spans="1:13" s="9" customFormat="1" x14ac:dyDescent="0.25">
      <c r="A373" s="39" t="s">
        <v>542</v>
      </c>
      <c r="B373" s="17" t="s">
        <v>54</v>
      </c>
      <c r="C373" s="18" t="s">
        <v>55</v>
      </c>
      <c r="D373" s="19">
        <v>0</v>
      </c>
      <c r="E373" s="20" t="s">
        <v>1</v>
      </c>
      <c r="F373" s="19">
        <v>0</v>
      </c>
      <c r="G373" s="19">
        <f>G374</f>
        <v>30000000</v>
      </c>
      <c r="H373" s="19">
        <f>H374</f>
        <v>0</v>
      </c>
      <c r="I373" s="19">
        <f>I374</f>
        <v>0</v>
      </c>
      <c r="J373" s="19">
        <f>J374</f>
        <v>30000000</v>
      </c>
      <c r="M373" s="184"/>
    </row>
    <row r="374" spans="1:13" x14ac:dyDescent="0.25">
      <c r="A374" s="40"/>
      <c r="B374" s="29" t="s">
        <v>1</v>
      </c>
      <c r="C374" s="33" t="s">
        <v>90</v>
      </c>
      <c r="D374" s="31">
        <v>0</v>
      </c>
      <c r="E374" s="32" t="s">
        <v>1</v>
      </c>
      <c r="F374" s="31">
        <v>0</v>
      </c>
      <c r="G374" s="31">
        <f>SUM(G375:G377)</f>
        <v>30000000</v>
      </c>
      <c r="H374" s="31">
        <f>SUM(H375:H377)</f>
        <v>0</v>
      </c>
      <c r="I374" s="31">
        <f>SUM(I375:I377)</f>
        <v>0</v>
      </c>
      <c r="J374" s="31">
        <f>SUM(J375:J377)</f>
        <v>30000000</v>
      </c>
    </row>
    <row r="375" spans="1:13" s="9" customFormat="1" x14ac:dyDescent="0.25">
      <c r="A375" s="39" t="s">
        <v>888</v>
      </c>
      <c r="B375" s="29" t="s">
        <v>1</v>
      </c>
      <c r="C375" s="30" t="s">
        <v>56</v>
      </c>
      <c r="D375" s="31">
        <v>10</v>
      </c>
      <c r="E375" s="32" t="s">
        <v>36</v>
      </c>
      <c r="F375" s="31">
        <v>300000</v>
      </c>
      <c r="G375" s="31">
        <f>ROUNDDOWN($D375*$F375,-3)</f>
        <v>3000000</v>
      </c>
      <c r="H375" s="31">
        <v>0</v>
      </c>
      <c r="I375" s="31">
        <f>SUMIF(dd_kuitansi[MAK],$A375,dd_kuitansi[Jumlah])</f>
        <v>0</v>
      </c>
      <c r="J375" s="31">
        <f>$G375-SUM($H375:$I375)</f>
        <v>3000000</v>
      </c>
      <c r="M375" s="184"/>
    </row>
    <row r="376" spans="1:13" x14ac:dyDescent="0.25">
      <c r="A376" s="40" t="s">
        <v>889</v>
      </c>
      <c r="B376" s="29" t="s">
        <v>1</v>
      </c>
      <c r="C376" s="30" t="s">
        <v>57</v>
      </c>
      <c r="D376" s="31">
        <v>100</v>
      </c>
      <c r="E376" s="32" t="s">
        <v>36</v>
      </c>
      <c r="F376" s="31">
        <v>250000</v>
      </c>
      <c r="G376" s="31">
        <f>ROUNDDOWN($D376*$F376,-3)</f>
        <v>25000000</v>
      </c>
      <c r="H376" s="31">
        <v>0</v>
      </c>
      <c r="I376" s="31">
        <f>SUMIF(dd_kuitansi[MAK],$A376,dd_kuitansi[Jumlah])</f>
        <v>0</v>
      </c>
      <c r="J376" s="31">
        <f>$G376-SUM($H376:$I376)</f>
        <v>25000000</v>
      </c>
    </row>
    <row r="377" spans="1:13" s="9" customFormat="1" x14ac:dyDescent="0.25">
      <c r="A377" s="39" t="s">
        <v>890</v>
      </c>
      <c r="B377" s="29" t="s">
        <v>1</v>
      </c>
      <c r="C377" s="30" t="s">
        <v>58</v>
      </c>
      <c r="D377" s="31">
        <v>10</v>
      </c>
      <c r="E377" s="32" t="s">
        <v>36</v>
      </c>
      <c r="F377" s="31">
        <v>200000</v>
      </c>
      <c r="G377" s="31">
        <f>ROUNDDOWN($D377*$F377,-3)</f>
        <v>2000000</v>
      </c>
      <c r="H377" s="31">
        <v>0</v>
      </c>
      <c r="I377" s="31">
        <f>SUMIF(dd_kuitansi[MAK],$A377,dd_kuitansi[Jumlah])</f>
        <v>0</v>
      </c>
      <c r="J377" s="31">
        <f>$G377-SUM($H377:$I377)</f>
        <v>2000000</v>
      </c>
      <c r="M377" s="184"/>
    </row>
    <row r="378" spans="1:13" x14ac:dyDescent="0.25">
      <c r="A378" s="40" t="s">
        <v>143</v>
      </c>
      <c r="B378" s="13" t="s">
        <v>143</v>
      </c>
      <c r="C378" s="14" t="s">
        <v>144</v>
      </c>
      <c r="D378" s="15">
        <v>1</v>
      </c>
      <c r="E378" s="16" t="s">
        <v>73</v>
      </c>
      <c r="F378" s="15">
        <v>0</v>
      </c>
      <c r="G378" s="15">
        <f>G379</f>
        <v>7762548000</v>
      </c>
      <c r="H378" s="15">
        <f>H379</f>
        <v>0</v>
      </c>
      <c r="I378" s="15">
        <f>I379</f>
        <v>0</v>
      </c>
      <c r="J378" s="15">
        <f>J379</f>
        <v>7762548000</v>
      </c>
    </row>
    <row r="379" spans="1:13" s="9" customFormat="1" x14ac:dyDescent="0.25">
      <c r="A379" s="39" t="s">
        <v>145</v>
      </c>
      <c r="B379" s="17" t="s">
        <v>145</v>
      </c>
      <c r="C379" s="18" t="s">
        <v>146</v>
      </c>
      <c r="D379" s="19">
        <v>0</v>
      </c>
      <c r="E379" s="20" t="s">
        <v>1</v>
      </c>
      <c r="F379" s="19">
        <v>0</v>
      </c>
      <c r="G379" s="19">
        <f>SUM(G380,G448,G517,G623,G641)</f>
        <v>7762548000</v>
      </c>
      <c r="H379" s="19">
        <f>SUM(H380,H448,H517,H623,H641)</f>
        <v>0</v>
      </c>
      <c r="I379" s="19">
        <f>SUM(I380,I448,I517,I623,I641)</f>
        <v>0</v>
      </c>
      <c r="J379" s="19">
        <f>SUM(J380,J448,J517,J623,J641)</f>
        <v>7762548000</v>
      </c>
      <c r="M379" s="184"/>
    </row>
    <row r="380" spans="1:13" ht="25.5" x14ac:dyDescent="0.25">
      <c r="A380" s="40" t="s">
        <v>383</v>
      </c>
      <c r="B380" s="21" t="s">
        <v>9</v>
      </c>
      <c r="C380" s="22" t="s">
        <v>147</v>
      </c>
      <c r="D380" s="23">
        <v>0</v>
      </c>
      <c r="E380" s="24" t="s">
        <v>1</v>
      </c>
      <c r="F380" s="23">
        <v>0</v>
      </c>
      <c r="G380" s="23">
        <f>SUM(G381,G405,G423)</f>
        <v>1777690000</v>
      </c>
      <c r="H380" s="23">
        <f>SUM(H381,H405,H423)</f>
        <v>0</v>
      </c>
      <c r="I380" s="23">
        <f>SUM(I381,I405,I423)</f>
        <v>0</v>
      </c>
      <c r="J380" s="23">
        <f>SUM(J381,J405,J423)</f>
        <v>1777690000</v>
      </c>
    </row>
    <row r="381" spans="1:13" x14ac:dyDescent="0.25">
      <c r="A381" s="40" t="s">
        <v>413</v>
      </c>
      <c r="B381" s="25" t="s">
        <v>11</v>
      </c>
      <c r="C381" s="26" t="s">
        <v>148</v>
      </c>
      <c r="D381" s="27">
        <v>0</v>
      </c>
      <c r="E381" s="28" t="s">
        <v>1</v>
      </c>
      <c r="F381" s="27">
        <v>0</v>
      </c>
      <c r="G381" s="27">
        <f>SUM(G382,G387,G390,G392,G394,G398)</f>
        <v>728740000</v>
      </c>
      <c r="H381" s="27">
        <f>SUM(H382,H387,H390,H392,H394,H398)</f>
        <v>0</v>
      </c>
      <c r="I381" s="27">
        <f>SUM(I382,I387,I390,I392,I394,I398)</f>
        <v>0</v>
      </c>
      <c r="J381" s="27">
        <f>SUM(J382,J387,J390,J392,J394,J398)</f>
        <v>728740000</v>
      </c>
    </row>
    <row r="382" spans="1:13" x14ac:dyDescent="0.25">
      <c r="A382" s="40" t="s">
        <v>543</v>
      </c>
      <c r="B382" s="17" t="s">
        <v>33</v>
      </c>
      <c r="C382" s="18" t="s">
        <v>34</v>
      </c>
      <c r="D382" s="19">
        <v>0</v>
      </c>
      <c r="E382" s="20" t="s">
        <v>1</v>
      </c>
      <c r="F382" s="19">
        <v>0</v>
      </c>
      <c r="G382" s="19">
        <f>SUM(G383:G386)</f>
        <v>157610000</v>
      </c>
      <c r="H382" s="19">
        <f>SUM(H383:H386)</f>
        <v>0</v>
      </c>
      <c r="I382" s="19">
        <f>SUM(I383:I386)</f>
        <v>0</v>
      </c>
      <c r="J382" s="19">
        <f>SUM(J383:J386)</f>
        <v>157610000</v>
      </c>
    </row>
    <row r="383" spans="1:13" x14ac:dyDescent="0.25">
      <c r="A383" s="40" t="s">
        <v>891</v>
      </c>
      <c r="B383" s="29" t="s">
        <v>1</v>
      </c>
      <c r="C383" s="30" t="s">
        <v>35</v>
      </c>
      <c r="D383" s="31">
        <v>350</v>
      </c>
      <c r="E383" s="32" t="s">
        <v>36</v>
      </c>
      <c r="F383" s="31">
        <v>69000</v>
      </c>
      <c r="G383" s="31">
        <f>ROUNDDOWN($D383*$F383,-3)</f>
        <v>24150000</v>
      </c>
      <c r="H383" s="31">
        <v>0</v>
      </c>
      <c r="I383" s="31">
        <f>SUMIF(dd_kuitansi[MAK],$A383,dd_kuitansi[Jumlah])</f>
        <v>0</v>
      </c>
      <c r="J383" s="31">
        <f>$G383-SUM($H383:$I383)</f>
        <v>24150000</v>
      </c>
    </row>
    <row r="384" spans="1:13" s="9" customFormat="1" x14ac:dyDescent="0.25">
      <c r="A384" s="39" t="s">
        <v>892</v>
      </c>
      <c r="B384" s="29" t="s">
        <v>1</v>
      </c>
      <c r="C384" s="30" t="s">
        <v>37</v>
      </c>
      <c r="D384" s="31">
        <v>12</v>
      </c>
      <c r="E384" s="32" t="s">
        <v>16</v>
      </c>
      <c r="F384" s="31">
        <v>1500000</v>
      </c>
      <c r="G384" s="31">
        <f>ROUNDDOWN($D384*$F384,-3)</f>
        <v>18000000</v>
      </c>
      <c r="H384" s="31">
        <v>0</v>
      </c>
      <c r="I384" s="31">
        <f>SUMIF(dd_kuitansi[MAK],$A384,dd_kuitansi[Jumlah])</f>
        <v>0</v>
      </c>
      <c r="J384" s="31">
        <f>$G384-SUM($H384:$I384)</f>
        <v>18000000</v>
      </c>
      <c r="M384" s="184"/>
    </row>
    <row r="385" spans="1:13" s="9" customFormat="1" x14ac:dyDescent="0.25">
      <c r="A385" s="39" t="s">
        <v>893</v>
      </c>
      <c r="B385" s="29" t="s">
        <v>1</v>
      </c>
      <c r="C385" s="30" t="s">
        <v>149</v>
      </c>
      <c r="D385" s="31">
        <v>10</v>
      </c>
      <c r="E385" s="32" t="s">
        <v>16</v>
      </c>
      <c r="F385" s="31">
        <v>9250000</v>
      </c>
      <c r="G385" s="31">
        <f>ROUNDDOWN($D385*$F385,-3)</f>
        <v>92500000</v>
      </c>
      <c r="H385" s="31">
        <v>0</v>
      </c>
      <c r="I385" s="31">
        <f>SUMIF(dd_kuitansi[MAK],$A385,dd_kuitansi[Jumlah])</f>
        <v>0</v>
      </c>
      <c r="J385" s="31">
        <f>$G385-SUM($H385:$I385)</f>
        <v>92500000</v>
      </c>
      <c r="M385" s="184"/>
    </row>
    <row r="386" spans="1:13" s="9" customFormat="1" ht="25.5" x14ac:dyDescent="0.25">
      <c r="A386" s="39" t="s">
        <v>894</v>
      </c>
      <c r="B386" s="29" t="s">
        <v>1</v>
      </c>
      <c r="C386" s="30" t="s">
        <v>150</v>
      </c>
      <c r="D386" s="31">
        <v>82</v>
      </c>
      <c r="E386" s="32" t="s">
        <v>36</v>
      </c>
      <c r="F386" s="31">
        <v>280000</v>
      </c>
      <c r="G386" s="31">
        <f>ROUNDDOWN($D386*$F386,-3)</f>
        <v>22960000</v>
      </c>
      <c r="H386" s="31">
        <v>0</v>
      </c>
      <c r="I386" s="31">
        <f>SUMIF(dd_kuitansi[MAK],$A386,dd_kuitansi[Jumlah])</f>
        <v>0</v>
      </c>
      <c r="J386" s="31">
        <f>$G386-SUM($H386:$I386)</f>
        <v>22960000</v>
      </c>
      <c r="M386" s="184"/>
    </row>
    <row r="387" spans="1:13" s="9" customFormat="1" x14ac:dyDescent="0.25">
      <c r="A387" s="39" t="s">
        <v>544</v>
      </c>
      <c r="B387" s="17" t="s">
        <v>41</v>
      </c>
      <c r="C387" s="18" t="s">
        <v>42</v>
      </c>
      <c r="D387" s="19">
        <v>0</v>
      </c>
      <c r="E387" s="20" t="s">
        <v>1</v>
      </c>
      <c r="F387" s="19">
        <v>0</v>
      </c>
      <c r="G387" s="19">
        <f>SUM(G388:G389)</f>
        <v>30000000</v>
      </c>
      <c r="H387" s="19">
        <f>SUM(H388:H389)</f>
        <v>0</v>
      </c>
      <c r="I387" s="19">
        <f>SUM(I388:I389)</f>
        <v>0</v>
      </c>
      <c r="J387" s="19">
        <f>SUM(J388:J389)</f>
        <v>30000000</v>
      </c>
      <c r="M387" s="184"/>
    </row>
    <row r="388" spans="1:13" s="9" customFormat="1" x14ac:dyDescent="0.25">
      <c r="A388" s="39" t="s">
        <v>895</v>
      </c>
      <c r="B388" s="29" t="s">
        <v>1</v>
      </c>
      <c r="C388" s="30" t="s">
        <v>45</v>
      </c>
      <c r="D388" s="31">
        <v>12</v>
      </c>
      <c r="E388" s="32" t="s">
        <v>16</v>
      </c>
      <c r="F388" s="31">
        <v>1000000</v>
      </c>
      <c r="G388" s="31">
        <f>ROUNDDOWN($D388*$F388,-3)</f>
        <v>12000000</v>
      </c>
      <c r="H388" s="31">
        <v>0</v>
      </c>
      <c r="I388" s="31">
        <f>SUMIF(dd_kuitansi[MAK],$A388,dd_kuitansi[Jumlah])</f>
        <v>0</v>
      </c>
      <c r="J388" s="31">
        <f>$G388-SUM($H388:$I388)</f>
        <v>12000000</v>
      </c>
      <c r="M388" s="184"/>
    </row>
    <row r="389" spans="1:13" x14ac:dyDescent="0.25">
      <c r="A389" s="40" t="s">
        <v>896</v>
      </c>
      <c r="B389" s="29" t="s">
        <v>1</v>
      </c>
      <c r="C389" s="30" t="s">
        <v>43</v>
      </c>
      <c r="D389" s="31">
        <v>12</v>
      </c>
      <c r="E389" s="32" t="s">
        <v>16</v>
      </c>
      <c r="F389" s="31">
        <v>1500000</v>
      </c>
      <c r="G389" s="31">
        <f>ROUNDDOWN($D389*$F389,-3)</f>
        <v>18000000</v>
      </c>
      <c r="H389" s="31">
        <v>0</v>
      </c>
      <c r="I389" s="31">
        <f>SUMIF(dd_kuitansi[MAK],$A389,dd_kuitansi[Jumlah])</f>
        <v>0</v>
      </c>
      <c r="J389" s="31">
        <f>$G389-SUM($H389:$I389)</f>
        <v>18000000</v>
      </c>
    </row>
    <row r="390" spans="1:13" x14ac:dyDescent="0.25">
      <c r="A390" s="40" t="s">
        <v>545</v>
      </c>
      <c r="B390" s="17" t="s">
        <v>46</v>
      </c>
      <c r="C390" s="18" t="s">
        <v>47</v>
      </c>
      <c r="D390" s="19">
        <v>0</v>
      </c>
      <c r="E390" s="20" t="s">
        <v>1</v>
      </c>
      <c r="F390" s="19">
        <v>0</v>
      </c>
      <c r="G390" s="19">
        <f>G391</f>
        <v>28000000</v>
      </c>
      <c r="H390" s="19">
        <f>H391</f>
        <v>0</v>
      </c>
      <c r="I390" s="19">
        <f>I391</f>
        <v>0</v>
      </c>
      <c r="J390" s="19">
        <f>J391</f>
        <v>28000000</v>
      </c>
    </row>
    <row r="391" spans="1:13" x14ac:dyDescent="0.25">
      <c r="A391" s="40" t="s">
        <v>897</v>
      </c>
      <c r="B391" s="29" t="s">
        <v>1</v>
      </c>
      <c r="C391" s="30" t="s">
        <v>48</v>
      </c>
      <c r="D391" s="31">
        <v>28</v>
      </c>
      <c r="E391" s="32" t="s">
        <v>49</v>
      </c>
      <c r="F391" s="31">
        <v>1000000</v>
      </c>
      <c r="G391" s="31">
        <f>ROUNDDOWN($D391*$F391,-3)</f>
        <v>28000000</v>
      </c>
      <c r="H391" s="31">
        <v>0</v>
      </c>
      <c r="I391" s="31">
        <f>SUMIF(dd_kuitansi[MAK],$A391,dd_kuitansi[Jumlah])</f>
        <v>0</v>
      </c>
      <c r="J391" s="31">
        <f>$G391-SUM($H391:$I391)</f>
        <v>28000000</v>
      </c>
    </row>
    <row r="392" spans="1:13" x14ac:dyDescent="0.25">
      <c r="A392" s="40" t="s">
        <v>546</v>
      </c>
      <c r="B392" s="17" t="s">
        <v>50</v>
      </c>
      <c r="C392" s="18" t="s">
        <v>51</v>
      </c>
      <c r="D392" s="19">
        <v>0</v>
      </c>
      <c r="E392" s="20" t="s">
        <v>1</v>
      </c>
      <c r="F392" s="19">
        <v>0</v>
      </c>
      <c r="G392" s="19">
        <f>G393</f>
        <v>154000000</v>
      </c>
      <c r="H392" s="19">
        <f>H393</f>
        <v>0</v>
      </c>
      <c r="I392" s="19">
        <f>I393</f>
        <v>0</v>
      </c>
      <c r="J392" s="19">
        <f>J393</f>
        <v>154000000</v>
      </c>
    </row>
    <row r="393" spans="1:13" s="9" customFormat="1" ht="25.5" x14ac:dyDescent="0.25">
      <c r="A393" s="39" t="s">
        <v>898</v>
      </c>
      <c r="B393" s="29" t="s">
        <v>1</v>
      </c>
      <c r="C393" s="30" t="s">
        <v>151</v>
      </c>
      <c r="D393" s="31">
        <v>28</v>
      </c>
      <c r="E393" s="32" t="s">
        <v>36</v>
      </c>
      <c r="F393" s="31">
        <v>5500000</v>
      </c>
      <c r="G393" s="31">
        <f>ROUNDDOWN($D393*$F393,-3)</f>
        <v>154000000</v>
      </c>
      <c r="H393" s="31">
        <v>0</v>
      </c>
      <c r="I393" s="31">
        <f>SUMIF(dd_kuitansi[MAK],$A393,dd_kuitansi[Jumlah])</f>
        <v>0</v>
      </c>
      <c r="J393" s="31">
        <f>$G393-SUM($H393:$I393)</f>
        <v>154000000</v>
      </c>
      <c r="M393" s="184"/>
    </row>
    <row r="394" spans="1:13" x14ac:dyDescent="0.25">
      <c r="A394" s="40" t="s">
        <v>547</v>
      </c>
      <c r="B394" s="17" t="s">
        <v>54</v>
      </c>
      <c r="C394" s="18" t="s">
        <v>55</v>
      </c>
      <c r="D394" s="19">
        <v>0</v>
      </c>
      <c r="E394" s="20" t="s">
        <v>1</v>
      </c>
      <c r="F394" s="19">
        <v>0</v>
      </c>
      <c r="G394" s="31">
        <f>SUM(G395:G397)</f>
        <v>75000000</v>
      </c>
      <c r="H394" s="31">
        <f>SUM(H395:H397)</f>
        <v>0</v>
      </c>
      <c r="I394" s="31">
        <f>SUM(I395:I397)</f>
        <v>0</v>
      </c>
      <c r="J394" s="31">
        <f>SUM(J395:J397)</f>
        <v>75000000</v>
      </c>
    </row>
    <row r="395" spans="1:13" x14ac:dyDescent="0.25">
      <c r="A395" s="40" t="s">
        <v>899</v>
      </c>
      <c r="B395" s="29" t="s">
        <v>1</v>
      </c>
      <c r="C395" s="30" t="s">
        <v>56</v>
      </c>
      <c r="D395" s="31">
        <v>80</v>
      </c>
      <c r="E395" s="32" t="s">
        <v>36</v>
      </c>
      <c r="F395" s="31">
        <v>300000</v>
      </c>
      <c r="G395" s="31">
        <f>ROUNDDOWN($D395*$F395,-3)</f>
        <v>24000000</v>
      </c>
      <c r="H395" s="31">
        <v>0</v>
      </c>
      <c r="I395" s="31">
        <f>SUMIF(dd_kuitansi[MAK],$A395,dd_kuitansi[Jumlah])</f>
        <v>0</v>
      </c>
      <c r="J395" s="31">
        <f>$G395-SUM($H395:$I395)</f>
        <v>24000000</v>
      </c>
    </row>
    <row r="396" spans="1:13" s="9" customFormat="1" x14ac:dyDescent="0.25">
      <c r="A396" s="39" t="s">
        <v>900</v>
      </c>
      <c r="B396" s="29" t="s">
        <v>1</v>
      </c>
      <c r="C396" s="30" t="s">
        <v>57</v>
      </c>
      <c r="D396" s="31">
        <v>192</v>
      </c>
      <c r="E396" s="32" t="s">
        <v>36</v>
      </c>
      <c r="F396" s="31">
        <v>250000</v>
      </c>
      <c r="G396" s="31">
        <f>ROUNDDOWN($D396*$F396,-3)</f>
        <v>48000000</v>
      </c>
      <c r="H396" s="31">
        <v>0</v>
      </c>
      <c r="I396" s="31">
        <f>SUMIF(dd_kuitansi[MAK],$A396,dd_kuitansi[Jumlah])</f>
        <v>0</v>
      </c>
      <c r="J396" s="31">
        <f>$G396-SUM($H396:$I396)</f>
        <v>48000000</v>
      </c>
      <c r="M396" s="184"/>
    </row>
    <row r="397" spans="1:13" x14ac:dyDescent="0.25">
      <c r="A397" s="40" t="s">
        <v>901</v>
      </c>
      <c r="B397" s="29" t="s">
        <v>1</v>
      </c>
      <c r="C397" s="30" t="s">
        <v>58</v>
      </c>
      <c r="D397" s="31">
        <v>15</v>
      </c>
      <c r="E397" s="32" t="s">
        <v>36</v>
      </c>
      <c r="F397" s="31">
        <v>200000</v>
      </c>
      <c r="G397" s="31">
        <f>ROUNDDOWN($D397*$F397,-3)</f>
        <v>3000000</v>
      </c>
      <c r="H397" s="31">
        <v>0</v>
      </c>
      <c r="I397" s="31">
        <f>SUMIF(dd_kuitansi[MAK],$A397,dd_kuitansi[Jumlah])</f>
        <v>0</v>
      </c>
      <c r="J397" s="31">
        <f>$G397-SUM($H397:$I397)</f>
        <v>3000000</v>
      </c>
    </row>
    <row r="398" spans="1:13" s="9" customFormat="1" x14ac:dyDescent="0.25">
      <c r="A398" s="39" t="s">
        <v>548</v>
      </c>
      <c r="B398" s="17" t="s">
        <v>152</v>
      </c>
      <c r="C398" s="18" t="s">
        <v>153</v>
      </c>
      <c r="D398" s="19">
        <v>0</v>
      </c>
      <c r="E398" s="20" t="s">
        <v>1</v>
      </c>
      <c r="F398" s="19">
        <v>0</v>
      </c>
      <c r="G398" s="19">
        <f>SUM(G399:G404)</f>
        <v>284130000</v>
      </c>
      <c r="H398" s="19">
        <f>SUM(H399:H404)</f>
        <v>0</v>
      </c>
      <c r="I398" s="19">
        <f>SUM(I399:I404)</f>
        <v>0</v>
      </c>
      <c r="J398" s="19">
        <f>SUM(J399:J404)</f>
        <v>284130000</v>
      </c>
      <c r="M398" s="184"/>
    </row>
    <row r="399" spans="1:13" x14ac:dyDescent="0.25">
      <c r="A399" s="40" t="s">
        <v>902</v>
      </c>
      <c r="B399" s="29" t="s">
        <v>1</v>
      </c>
      <c r="C399" s="30" t="s">
        <v>154</v>
      </c>
      <c r="D399" s="31">
        <v>1</v>
      </c>
      <c r="E399" s="32" t="s">
        <v>155</v>
      </c>
      <c r="F399" s="31">
        <v>1000000</v>
      </c>
      <c r="G399" s="31">
        <f t="shared" ref="G399:G404" si="6">ROUNDDOWN($D399*$F399,-3)</f>
        <v>1000000</v>
      </c>
      <c r="H399" s="31">
        <v>0</v>
      </c>
      <c r="I399" s="31">
        <f>SUMIF(dd_kuitansi[MAK],$A399,dd_kuitansi[Jumlah])</f>
        <v>0</v>
      </c>
      <c r="J399" s="31">
        <f t="shared" ref="J399:J404" si="7">$G399-SUM($H399:$I399)</f>
        <v>1000000</v>
      </c>
    </row>
    <row r="400" spans="1:13" s="9" customFormat="1" x14ac:dyDescent="0.25">
      <c r="A400" s="39" t="s">
        <v>903</v>
      </c>
      <c r="B400" s="29" t="s">
        <v>1</v>
      </c>
      <c r="C400" s="30" t="s">
        <v>156</v>
      </c>
      <c r="D400" s="31">
        <v>2</v>
      </c>
      <c r="E400" s="32" t="s">
        <v>155</v>
      </c>
      <c r="F400" s="31">
        <v>900000</v>
      </c>
      <c r="G400" s="31">
        <f t="shared" si="6"/>
        <v>1800000</v>
      </c>
      <c r="H400" s="31">
        <v>0</v>
      </c>
      <c r="I400" s="31">
        <f>SUMIF(dd_kuitansi[MAK],$A400,dd_kuitansi[Jumlah])</f>
        <v>0</v>
      </c>
      <c r="J400" s="31">
        <f t="shared" si="7"/>
        <v>1800000</v>
      </c>
      <c r="M400" s="184"/>
    </row>
    <row r="401" spans="1:13" x14ac:dyDescent="0.25">
      <c r="A401" s="40" t="s">
        <v>904</v>
      </c>
      <c r="B401" s="29" t="s">
        <v>1</v>
      </c>
      <c r="C401" s="30" t="s">
        <v>157</v>
      </c>
      <c r="D401" s="31">
        <v>160</v>
      </c>
      <c r="E401" s="32" t="s">
        <v>155</v>
      </c>
      <c r="F401" s="31">
        <v>822000</v>
      </c>
      <c r="G401" s="31">
        <f t="shared" si="6"/>
        <v>131520000</v>
      </c>
      <c r="H401" s="31">
        <v>0</v>
      </c>
      <c r="I401" s="31">
        <f>SUMIF(dd_kuitansi[MAK],$A401,dd_kuitansi[Jumlah])</f>
        <v>0</v>
      </c>
      <c r="J401" s="31">
        <f t="shared" si="7"/>
        <v>131520000</v>
      </c>
    </row>
    <row r="402" spans="1:13" x14ac:dyDescent="0.25">
      <c r="A402" s="40" t="s">
        <v>905</v>
      </c>
      <c r="B402" s="29" t="s">
        <v>1</v>
      </c>
      <c r="C402" s="30" t="s">
        <v>158</v>
      </c>
      <c r="D402" s="31">
        <v>6</v>
      </c>
      <c r="E402" s="32" t="s">
        <v>159</v>
      </c>
      <c r="F402" s="31">
        <v>201667</v>
      </c>
      <c r="G402" s="31">
        <f t="shared" si="6"/>
        <v>1210000</v>
      </c>
      <c r="H402" s="31">
        <v>0</v>
      </c>
      <c r="I402" s="31">
        <f>SUMIF(dd_kuitansi[MAK],$A402,dd_kuitansi[Jumlah])</f>
        <v>0</v>
      </c>
      <c r="J402" s="31">
        <f t="shared" si="7"/>
        <v>1210000</v>
      </c>
    </row>
    <row r="403" spans="1:13" x14ac:dyDescent="0.25">
      <c r="A403" s="40" t="s">
        <v>906</v>
      </c>
      <c r="B403" s="29" t="s">
        <v>1</v>
      </c>
      <c r="C403" s="30" t="s">
        <v>160</v>
      </c>
      <c r="D403" s="31">
        <v>240</v>
      </c>
      <c r="E403" s="32" t="s">
        <v>159</v>
      </c>
      <c r="F403" s="31">
        <v>140000</v>
      </c>
      <c r="G403" s="31">
        <f t="shared" si="6"/>
        <v>33600000</v>
      </c>
      <c r="H403" s="31">
        <v>0</v>
      </c>
      <c r="I403" s="31">
        <f>SUMIF(dd_kuitansi[MAK],$A403,dd_kuitansi[Jumlah])</f>
        <v>0</v>
      </c>
      <c r="J403" s="31">
        <f t="shared" si="7"/>
        <v>33600000</v>
      </c>
    </row>
    <row r="404" spans="1:13" s="9" customFormat="1" ht="25.5" x14ac:dyDescent="0.25">
      <c r="A404" s="39" t="s">
        <v>907</v>
      </c>
      <c r="B404" s="29" t="s">
        <v>1</v>
      </c>
      <c r="C404" s="30" t="s">
        <v>161</v>
      </c>
      <c r="D404" s="31">
        <v>23</v>
      </c>
      <c r="E404" s="32" t="s">
        <v>36</v>
      </c>
      <c r="F404" s="31">
        <v>5000000</v>
      </c>
      <c r="G404" s="31">
        <f t="shared" si="6"/>
        <v>115000000</v>
      </c>
      <c r="H404" s="31">
        <v>0</v>
      </c>
      <c r="I404" s="31">
        <f>SUMIF(dd_kuitansi[MAK],$A404,dd_kuitansi[Jumlah])</f>
        <v>0</v>
      </c>
      <c r="J404" s="31">
        <f t="shared" si="7"/>
        <v>115000000</v>
      </c>
      <c r="M404" s="184"/>
    </row>
    <row r="405" spans="1:13" x14ac:dyDescent="0.25">
      <c r="A405" s="40" t="s">
        <v>414</v>
      </c>
      <c r="B405" s="25" t="s">
        <v>17</v>
      </c>
      <c r="C405" s="26" t="s">
        <v>162</v>
      </c>
      <c r="D405" s="27">
        <v>0</v>
      </c>
      <c r="E405" s="28" t="s">
        <v>1</v>
      </c>
      <c r="F405" s="27">
        <v>0</v>
      </c>
      <c r="G405" s="27">
        <f>SUM(G406,G410,G413,G415,G417,G419)</f>
        <v>432200000</v>
      </c>
      <c r="H405" s="27">
        <f>SUM(H406,H410,H413,H415,H417,H419)</f>
        <v>0</v>
      </c>
      <c r="I405" s="27">
        <f>SUM(I406,I410,I413,I415,I417,I419)</f>
        <v>0</v>
      </c>
      <c r="J405" s="27">
        <f>SUM(J406,J410,J413,J415,J417,J419)</f>
        <v>432200000</v>
      </c>
    </row>
    <row r="406" spans="1:13" x14ac:dyDescent="0.25">
      <c r="A406" s="40" t="s">
        <v>549</v>
      </c>
      <c r="B406" s="17" t="s">
        <v>33</v>
      </c>
      <c r="C406" s="18" t="s">
        <v>34</v>
      </c>
      <c r="D406" s="19">
        <v>0</v>
      </c>
      <c r="E406" s="20" t="s">
        <v>1</v>
      </c>
      <c r="F406" s="19">
        <v>0</v>
      </c>
      <c r="G406" s="31">
        <f>SUM(G407:G409)</f>
        <v>55900000</v>
      </c>
      <c r="H406" s="31">
        <f>SUM(H407:H409)</f>
        <v>0</v>
      </c>
      <c r="I406" s="31">
        <f>SUM(I407:I409)</f>
        <v>0</v>
      </c>
      <c r="J406" s="31">
        <f>SUM(J407:J409)</f>
        <v>55900000</v>
      </c>
    </row>
    <row r="407" spans="1:13" x14ac:dyDescent="0.25">
      <c r="A407" s="40" t="s">
        <v>908</v>
      </c>
      <c r="B407" s="29" t="s">
        <v>1</v>
      </c>
      <c r="C407" s="30" t="s">
        <v>35</v>
      </c>
      <c r="D407" s="31">
        <v>350</v>
      </c>
      <c r="E407" s="32" t="s">
        <v>36</v>
      </c>
      <c r="F407" s="31">
        <v>69000</v>
      </c>
      <c r="G407" s="31">
        <f>ROUNDDOWN($D407*$F407,-3)</f>
        <v>24150000</v>
      </c>
      <c r="H407" s="31">
        <v>0</v>
      </c>
      <c r="I407" s="31">
        <f>SUMIF(dd_kuitansi[MAK],$A407,dd_kuitansi[Jumlah])</f>
        <v>0</v>
      </c>
      <c r="J407" s="31">
        <f>$G407-SUM($H407:$I407)</f>
        <v>24150000</v>
      </c>
    </row>
    <row r="408" spans="1:13" x14ac:dyDescent="0.25">
      <c r="A408" s="40" t="s">
        <v>909</v>
      </c>
      <c r="B408" s="29" t="s">
        <v>1</v>
      </c>
      <c r="C408" s="30" t="s">
        <v>149</v>
      </c>
      <c r="D408" s="31">
        <v>1</v>
      </c>
      <c r="E408" s="32" t="s">
        <v>101</v>
      </c>
      <c r="F408" s="31">
        <v>22750000</v>
      </c>
      <c r="G408" s="31">
        <f>ROUNDDOWN($D408*$F408,-3)</f>
        <v>22750000</v>
      </c>
      <c r="H408" s="31">
        <v>0</v>
      </c>
      <c r="I408" s="31">
        <f>SUMIF(dd_kuitansi[MAK],$A408,dd_kuitansi[Jumlah])</f>
        <v>0</v>
      </c>
      <c r="J408" s="31">
        <f>$G408-SUM($H408:$I408)</f>
        <v>22750000</v>
      </c>
    </row>
    <row r="409" spans="1:13" x14ac:dyDescent="0.25">
      <c r="A409" s="40" t="s">
        <v>910</v>
      </c>
      <c r="B409" s="29" t="s">
        <v>1</v>
      </c>
      <c r="C409" s="30" t="s">
        <v>37</v>
      </c>
      <c r="D409" s="31">
        <v>6</v>
      </c>
      <c r="E409" s="32" t="s">
        <v>16</v>
      </c>
      <c r="F409" s="31">
        <v>1500000</v>
      </c>
      <c r="G409" s="31">
        <f>ROUNDDOWN($D409*$F409,-3)</f>
        <v>9000000</v>
      </c>
      <c r="H409" s="31">
        <v>0</v>
      </c>
      <c r="I409" s="31">
        <f>SUMIF(dd_kuitansi[MAK],$A409,dd_kuitansi[Jumlah])</f>
        <v>0</v>
      </c>
      <c r="J409" s="31">
        <f>$G409-SUM($H409:$I409)</f>
        <v>9000000</v>
      </c>
    </row>
    <row r="410" spans="1:13" x14ac:dyDescent="0.25">
      <c r="A410" s="40" t="s">
        <v>550</v>
      </c>
      <c r="B410" s="17" t="s">
        <v>41</v>
      </c>
      <c r="C410" s="18" t="s">
        <v>42</v>
      </c>
      <c r="D410" s="19">
        <v>0</v>
      </c>
      <c r="E410" s="20" t="s">
        <v>1</v>
      </c>
      <c r="F410" s="19">
        <v>0</v>
      </c>
      <c r="G410" s="19">
        <f>SUM(G411:G412)</f>
        <v>15000000</v>
      </c>
      <c r="H410" s="19">
        <f>SUM(H411:H412)</f>
        <v>0</v>
      </c>
      <c r="I410" s="19">
        <f>SUM(I411:I412)</f>
        <v>0</v>
      </c>
      <c r="J410" s="19">
        <f>SUM(J411:J412)</f>
        <v>15000000</v>
      </c>
    </row>
    <row r="411" spans="1:13" s="9" customFormat="1" x14ac:dyDescent="0.25">
      <c r="A411" s="39" t="s">
        <v>911</v>
      </c>
      <c r="B411" s="29" t="s">
        <v>1</v>
      </c>
      <c r="C411" s="30" t="s">
        <v>45</v>
      </c>
      <c r="D411" s="31">
        <v>6</v>
      </c>
      <c r="E411" s="32" t="s">
        <v>16</v>
      </c>
      <c r="F411" s="31">
        <v>1000000</v>
      </c>
      <c r="G411" s="31">
        <f>ROUNDDOWN($D411*$F411,-3)</f>
        <v>6000000</v>
      </c>
      <c r="H411" s="31">
        <v>0</v>
      </c>
      <c r="I411" s="31">
        <f>SUMIF(dd_kuitansi[MAK],$A411,dd_kuitansi[Jumlah])</f>
        <v>0</v>
      </c>
      <c r="J411" s="31">
        <f>$G411-SUM($H411:$I411)</f>
        <v>6000000</v>
      </c>
      <c r="M411" s="184"/>
    </row>
    <row r="412" spans="1:13" s="9" customFormat="1" x14ac:dyDescent="0.25">
      <c r="A412" s="39" t="s">
        <v>912</v>
      </c>
      <c r="B412" s="29" t="s">
        <v>1</v>
      </c>
      <c r="C412" s="30" t="s">
        <v>43</v>
      </c>
      <c r="D412" s="31">
        <v>6</v>
      </c>
      <c r="E412" s="32" t="s">
        <v>16</v>
      </c>
      <c r="F412" s="31">
        <v>1500000</v>
      </c>
      <c r="G412" s="31">
        <f>ROUNDDOWN($D412*$F412,-3)</f>
        <v>9000000</v>
      </c>
      <c r="H412" s="31">
        <v>0</v>
      </c>
      <c r="I412" s="31">
        <f>SUMIF(dd_kuitansi[MAK],$A412,dd_kuitansi[Jumlah])</f>
        <v>0</v>
      </c>
      <c r="J412" s="31">
        <f>$G412-SUM($H412:$I412)</f>
        <v>9000000</v>
      </c>
      <c r="M412" s="184"/>
    </row>
    <row r="413" spans="1:13" x14ac:dyDescent="0.25">
      <c r="A413" s="40" t="s">
        <v>551</v>
      </c>
      <c r="B413" s="17" t="s">
        <v>46</v>
      </c>
      <c r="C413" s="18" t="s">
        <v>47</v>
      </c>
      <c r="D413" s="19">
        <v>0</v>
      </c>
      <c r="E413" s="20" t="s">
        <v>1</v>
      </c>
      <c r="F413" s="19">
        <v>0</v>
      </c>
      <c r="G413" s="19">
        <f>G414</f>
        <v>20000000</v>
      </c>
      <c r="H413" s="19">
        <f>H414</f>
        <v>0</v>
      </c>
      <c r="I413" s="19">
        <f>I414</f>
        <v>0</v>
      </c>
      <c r="J413" s="19">
        <f>J414</f>
        <v>20000000</v>
      </c>
    </row>
    <row r="414" spans="1:13" x14ac:dyDescent="0.25">
      <c r="A414" s="40" t="s">
        <v>913</v>
      </c>
      <c r="B414" s="29" t="s">
        <v>1</v>
      </c>
      <c r="C414" s="30" t="s">
        <v>82</v>
      </c>
      <c r="D414" s="31">
        <v>20</v>
      </c>
      <c r="E414" s="32" t="s">
        <v>49</v>
      </c>
      <c r="F414" s="31">
        <v>1000000</v>
      </c>
      <c r="G414" s="31">
        <f>ROUNDDOWN($D414*$F414,-3)</f>
        <v>20000000</v>
      </c>
      <c r="H414" s="31">
        <v>0</v>
      </c>
      <c r="I414" s="31">
        <f>SUMIF(dd_kuitansi[MAK],$A414,dd_kuitansi[Jumlah])</f>
        <v>0</v>
      </c>
      <c r="J414" s="31">
        <f>$G414-SUM($H414:$I414)</f>
        <v>20000000</v>
      </c>
    </row>
    <row r="415" spans="1:13" x14ac:dyDescent="0.25">
      <c r="A415" s="40" t="s">
        <v>552</v>
      </c>
      <c r="B415" s="17" t="s">
        <v>50</v>
      </c>
      <c r="C415" s="18" t="s">
        <v>51</v>
      </c>
      <c r="D415" s="19">
        <v>0</v>
      </c>
      <c r="E415" s="20" t="s">
        <v>1</v>
      </c>
      <c r="F415" s="19">
        <v>0</v>
      </c>
      <c r="G415" s="19">
        <f>G416</f>
        <v>239400000</v>
      </c>
      <c r="H415" s="19">
        <f>H416</f>
        <v>0</v>
      </c>
      <c r="I415" s="19">
        <f>I416</f>
        <v>0</v>
      </c>
      <c r="J415" s="19">
        <f>J416</f>
        <v>239400000</v>
      </c>
    </row>
    <row r="416" spans="1:13" s="9" customFormat="1" x14ac:dyDescent="0.25">
      <c r="A416" s="39" t="s">
        <v>914</v>
      </c>
      <c r="B416" s="29" t="s">
        <v>1</v>
      </c>
      <c r="C416" s="30" t="s">
        <v>163</v>
      </c>
      <c r="D416" s="31">
        <v>28</v>
      </c>
      <c r="E416" s="32" t="s">
        <v>36</v>
      </c>
      <c r="F416" s="31">
        <v>8550000</v>
      </c>
      <c r="G416" s="31">
        <f>ROUNDDOWN($D416*$F416,-3)</f>
        <v>239400000</v>
      </c>
      <c r="H416" s="31">
        <v>0</v>
      </c>
      <c r="I416" s="31">
        <f>SUMIF(dd_kuitansi[MAK],$A416,dd_kuitansi[Jumlah])</f>
        <v>0</v>
      </c>
      <c r="J416" s="31">
        <f>$G416-SUM($H416:$I416)</f>
        <v>239400000</v>
      </c>
      <c r="M416" s="184"/>
    </row>
    <row r="417" spans="1:13" x14ac:dyDescent="0.25">
      <c r="A417" s="40" t="s">
        <v>553</v>
      </c>
      <c r="B417" s="17" t="s">
        <v>104</v>
      </c>
      <c r="C417" s="18" t="s">
        <v>105</v>
      </c>
      <c r="D417" s="19">
        <v>0</v>
      </c>
      <c r="E417" s="20" t="s">
        <v>1</v>
      </c>
      <c r="F417" s="19">
        <v>0</v>
      </c>
      <c r="G417" s="19">
        <f>G418</f>
        <v>14400000</v>
      </c>
      <c r="H417" s="19">
        <f>H418</f>
        <v>0</v>
      </c>
      <c r="I417" s="19">
        <f>I418</f>
        <v>0</v>
      </c>
      <c r="J417" s="19">
        <f>J418</f>
        <v>14400000</v>
      </c>
    </row>
    <row r="418" spans="1:13" x14ac:dyDescent="0.25">
      <c r="A418" s="40" t="s">
        <v>915</v>
      </c>
      <c r="B418" s="29" t="s">
        <v>1</v>
      </c>
      <c r="C418" s="30" t="s">
        <v>164</v>
      </c>
      <c r="D418" s="31">
        <v>96</v>
      </c>
      <c r="E418" s="32" t="s">
        <v>36</v>
      </c>
      <c r="F418" s="31">
        <v>150000</v>
      </c>
      <c r="G418" s="31">
        <f>ROUNDDOWN($D418*$F418,-3)</f>
        <v>14400000</v>
      </c>
      <c r="H418" s="31">
        <v>0</v>
      </c>
      <c r="I418" s="31">
        <f>SUMIF(dd_kuitansi[MAK],$A418,dd_kuitansi[Jumlah])</f>
        <v>0</v>
      </c>
      <c r="J418" s="31">
        <f>$G418-SUM($H418:$I418)</f>
        <v>14400000</v>
      </c>
    </row>
    <row r="419" spans="1:13" s="9" customFormat="1" x14ac:dyDescent="0.25">
      <c r="A419" s="39" t="s">
        <v>554</v>
      </c>
      <c r="B419" s="17" t="s">
        <v>54</v>
      </c>
      <c r="C419" s="18" t="s">
        <v>55</v>
      </c>
      <c r="D419" s="19">
        <v>0</v>
      </c>
      <c r="E419" s="20" t="s">
        <v>1</v>
      </c>
      <c r="F419" s="19">
        <v>0</v>
      </c>
      <c r="G419" s="31">
        <f>SUM(G420:G422)</f>
        <v>87500000</v>
      </c>
      <c r="H419" s="31">
        <f>SUM(H420:H422)</f>
        <v>0</v>
      </c>
      <c r="I419" s="31">
        <f>SUM(I420:I422)</f>
        <v>0</v>
      </c>
      <c r="J419" s="31">
        <f>SUM(J420:J422)</f>
        <v>87500000</v>
      </c>
      <c r="M419" s="184"/>
    </row>
    <row r="420" spans="1:13" x14ac:dyDescent="0.25">
      <c r="A420" s="40" t="s">
        <v>916</v>
      </c>
      <c r="B420" s="29" t="s">
        <v>1</v>
      </c>
      <c r="C420" s="30" t="s">
        <v>56</v>
      </c>
      <c r="D420" s="31">
        <v>90</v>
      </c>
      <c r="E420" s="32" t="s">
        <v>36</v>
      </c>
      <c r="F420" s="31">
        <v>300000</v>
      </c>
      <c r="G420" s="31">
        <f>ROUNDDOWN($D420*$F420,-3)</f>
        <v>27000000</v>
      </c>
      <c r="H420" s="31">
        <v>0</v>
      </c>
      <c r="I420" s="31">
        <f>SUMIF(dd_kuitansi[MAK],$A420,dd_kuitansi[Jumlah])</f>
        <v>0</v>
      </c>
      <c r="J420" s="31">
        <f>$G420-SUM($H420:$I420)</f>
        <v>27000000</v>
      </c>
    </row>
    <row r="421" spans="1:13" s="9" customFormat="1" x14ac:dyDescent="0.25">
      <c r="A421" s="39" t="s">
        <v>917</v>
      </c>
      <c r="B421" s="29" t="s">
        <v>1</v>
      </c>
      <c r="C421" s="30" t="s">
        <v>57</v>
      </c>
      <c r="D421" s="31">
        <v>226</v>
      </c>
      <c r="E421" s="32" t="s">
        <v>36</v>
      </c>
      <c r="F421" s="31">
        <v>250000</v>
      </c>
      <c r="G421" s="31">
        <f>ROUNDDOWN($D421*$F421,-3)</f>
        <v>56500000</v>
      </c>
      <c r="H421" s="31">
        <v>0</v>
      </c>
      <c r="I421" s="31">
        <f>SUMIF(dd_kuitansi[MAK],$A421,dd_kuitansi[Jumlah])</f>
        <v>0</v>
      </c>
      <c r="J421" s="31">
        <f>$G421-SUM($H421:$I421)</f>
        <v>56500000</v>
      </c>
      <c r="M421" s="184"/>
    </row>
    <row r="422" spans="1:13" x14ac:dyDescent="0.25">
      <c r="A422" s="40" t="s">
        <v>918</v>
      </c>
      <c r="B422" s="29" t="s">
        <v>1</v>
      </c>
      <c r="C422" s="30" t="s">
        <v>58</v>
      </c>
      <c r="D422" s="31">
        <v>20</v>
      </c>
      <c r="E422" s="32" t="s">
        <v>36</v>
      </c>
      <c r="F422" s="31">
        <v>200000</v>
      </c>
      <c r="G422" s="31">
        <f>ROUNDDOWN($D422*$F422,-3)</f>
        <v>4000000</v>
      </c>
      <c r="H422" s="31">
        <v>0</v>
      </c>
      <c r="I422" s="31">
        <f>SUMIF(dd_kuitansi[MAK],$A422,dd_kuitansi[Jumlah])</f>
        <v>0</v>
      </c>
      <c r="J422" s="31">
        <f>$G422-SUM($H422:$I422)</f>
        <v>4000000</v>
      </c>
    </row>
    <row r="423" spans="1:13" s="9" customFormat="1" x14ac:dyDescent="0.25">
      <c r="A423" s="39" t="s">
        <v>415</v>
      </c>
      <c r="B423" s="25" t="s">
        <v>98</v>
      </c>
      <c r="C423" s="26" t="s">
        <v>165</v>
      </c>
      <c r="D423" s="27">
        <v>0</v>
      </c>
      <c r="E423" s="28" t="s">
        <v>1</v>
      </c>
      <c r="F423" s="27">
        <v>0</v>
      </c>
      <c r="G423" s="27">
        <f>SUM(G424,G431,G433,G435,G437,G441)</f>
        <v>616750000</v>
      </c>
      <c r="H423" s="27">
        <f>SUM(H424,H431,H433,H435,H437,H441)</f>
        <v>0</v>
      </c>
      <c r="I423" s="27">
        <f>SUM(I424,I431,I433,I435,I437,I441)</f>
        <v>0</v>
      </c>
      <c r="J423" s="27">
        <f>SUM(J424,J431,J433,J435,J437,J441)</f>
        <v>616750000</v>
      </c>
      <c r="M423" s="184"/>
    </row>
    <row r="424" spans="1:13" x14ac:dyDescent="0.25">
      <c r="A424" s="40" t="s">
        <v>555</v>
      </c>
      <c r="B424" s="17" t="s">
        <v>33</v>
      </c>
      <c r="C424" s="18" t="s">
        <v>34</v>
      </c>
      <c r="D424" s="19">
        <v>0</v>
      </c>
      <c r="E424" s="20" t="s">
        <v>1</v>
      </c>
      <c r="F424" s="19">
        <v>0</v>
      </c>
      <c r="G424" s="19">
        <f>SUM(G425:G430)</f>
        <v>58360000</v>
      </c>
      <c r="H424" s="19">
        <f>SUM(H425:H430)</f>
        <v>0</v>
      </c>
      <c r="I424" s="19">
        <f>SUM(I425:I430)</f>
        <v>0</v>
      </c>
      <c r="J424" s="19">
        <f>SUM(J425:J430)</f>
        <v>58360000</v>
      </c>
    </row>
    <row r="425" spans="1:13" s="9" customFormat="1" x14ac:dyDescent="0.25">
      <c r="A425" s="39" t="s">
        <v>919</v>
      </c>
      <c r="B425" s="29" t="s">
        <v>1</v>
      </c>
      <c r="C425" s="30" t="s">
        <v>35</v>
      </c>
      <c r="D425" s="31">
        <v>100</v>
      </c>
      <c r="E425" s="32" t="s">
        <v>36</v>
      </c>
      <c r="F425" s="31">
        <v>69000</v>
      </c>
      <c r="G425" s="31">
        <f t="shared" ref="G425:G430" si="8">ROUNDDOWN($D425*$F425,-3)</f>
        <v>6900000</v>
      </c>
      <c r="H425" s="31">
        <v>0</v>
      </c>
      <c r="I425" s="31">
        <f>SUMIF(dd_kuitansi[MAK],$A425,dd_kuitansi[Jumlah])</f>
        <v>0</v>
      </c>
      <c r="J425" s="31">
        <f t="shared" ref="J425:J430" si="9">$G425-SUM($H425:$I425)</f>
        <v>6900000</v>
      </c>
      <c r="M425" s="184"/>
    </row>
    <row r="426" spans="1:13" x14ac:dyDescent="0.25">
      <c r="A426" s="40" t="s">
        <v>920</v>
      </c>
      <c r="B426" s="29" t="s">
        <v>1</v>
      </c>
      <c r="C426" s="30" t="s">
        <v>37</v>
      </c>
      <c r="D426" s="31">
        <v>2</v>
      </c>
      <c r="E426" s="32" t="s">
        <v>16</v>
      </c>
      <c r="F426" s="31">
        <v>1500000</v>
      </c>
      <c r="G426" s="31">
        <f t="shared" si="8"/>
        <v>3000000</v>
      </c>
      <c r="H426" s="31">
        <v>0</v>
      </c>
      <c r="I426" s="31">
        <f>SUMIF(dd_kuitansi[MAK],$A426,dd_kuitansi[Jumlah])</f>
        <v>0</v>
      </c>
      <c r="J426" s="31">
        <f t="shared" si="9"/>
        <v>3000000</v>
      </c>
    </row>
    <row r="427" spans="1:13" x14ac:dyDescent="0.25">
      <c r="A427" s="40" t="s">
        <v>921</v>
      </c>
      <c r="B427" s="29" t="s">
        <v>1</v>
      </c>
      <c r="C427" s="30" t="s">
        <v>166</v>
      </c>
      <c r="D427" s="31">
        <v>82</v>
      </c>
      <c r="E427" s="32" t="s">
        <v>36</v>
      </c>
      <c r="F427" s="31">
        <v>280000</v>
      </c>
      <c r="G427" s="31">
        <f t="shared" si="8"/>
        <v>22960000</v>
      </c>
      <c r="H427" s="31">
        <v>0</v>
      </c>
      <c r="I427" s="31">
        <f>SUMIF(dd_kuitansi[MAK],$A427,dd_kuitansi[Jumlah])</f>
        <v>0</v>
      </c>
      <c r="J427" s="31">
        <f t="shared" si="9"/>
        <v>22960000</v>
      </c>
    </row>
    <row r="428" spans="1:13" x14ac:dyDescent="0.25">
      <c r="A428" s="40" t="s">
        <v>922</v>
      </c>
      <c r="B428" s="29" t="s">
        <v>1</v>
      </c>
      <c r="C428" s="30" t="s">
        <v>45</v>
      </c>
      <c r="D428" s="31">
        <v>2</v>
      </c>
      <c r="E428" s="32" t="s">
        <v>16</v>
      </c>
      <c r="F428" s="31">
        <v>1000000</v>
      </c>
      <c r="G428" s="31">
        <f t="shared" si="8"/>
        <v>2000000</v>
      </c>
      <c r="H428" s="31">
        <v>0</v>
      </c>
      <c r="I428" s="31">
        <f>SUMIF(dd_kuitansi[MAK],$A428,dd_kuitansi[Jumlah])</f>
        <v>0</v>
      </c>
      <c r="J428" s="31">
        <f t="shared" si="9"/>
        <v>2000000</v>
      </c>
    </row>
    <row r="429" spans="1:13" s="9" customFormat="1" x14ac:dyDescent="0.25">
      <c r="A429" s="39" t="s">
        <v>923</v>
      </c>
      <c r="B429" s="29" t="s">
        <v>1</v>
      </c>
      <c r="C429" s="30" t="s">
        <v>43</v>
      </c>
      <c r="D429" s="31">
        <v>2</v>
      </c>
      <c r="E429" s="32" t="s">
        <v>16</v>
      </c>
      <c r="F429" s="31">
        <v>1500000</v>
      </c>
      <c r="G429" s="31">
        <f t="shared" si="8"/>
        <v>3000000</v>
      </c>
      <c r="H429" s="31">
        <v>0</v>
      </c>
      <c r="I429" s="31">
        <f>SUMIF(dd_kuitansi[MAK],$A429,dd_kuitansi[Jumlah])</f>
        <v>0</v>
      </c>
      <c r="J429" s="31">
        <f t="shared" si="9"/>
        <v>3000000</v>
      </c>
      <c r="M429" s="184"/>
    </row>
    <row r="430" spans="1:13" s="9" customFormat="1" x14ac:dyDescent="0.25">
      <c r="A430" s="39" t="s">
        <v>924</v>
      </c>
      <c r="B430" s="29" t="s">
        <v>1</v>
      </c>
      <c r="C430" s="30" t="s">
        <v>149</v>
      </c>
      <c r="D430" s="31">
        <v>1</v>
      </c>
      <c r="E430" s="32" t="s">
        <v>16</v>
      </c>
      <c r="F430" s="31">
        <v>20500000</v>
      </c>
      <c r="G430" s="31">
        <f t="shared" si="8"/>
        <v>20500000</v>
      </c>
      <c r="H430" s="31">
        <v>0</v>
      </c>
      <c r="I430" s="31">
        <f>SUMIF(dd_kuitansi[MAK],$A430,dd_kuitansi[Jumlah])</f>
        <v>0</v>
      </c>
      <c r="J430" s="31">
        <f t="shared" si="9"/>
        <v>20500000</v>
      </c>
      <c r="M430" s="184"/>
    </row>
    <row r="431" spans="1:13" x14ac:dyDescent="0.25">
      <c r="A431" s="40" t="s">
        <v>556</v>
      </c>
      <c r="B431" s="17" t="s">
        <v>38</v>
      </c>
      <c r="C431" s="18" t="s">
        <v>39</v>
      </c>
      <c r="D431" s="19">
        <v>0</v>
      </c>
      <c r="E431" s="20" t="s">
        <v>1</v>
      </c>
      <c r="F431" s="19">
        <v>0</v>
      </c>
      <c r="G431" s="19">
        <f>G432</f>
        <v>45000000</v>
      </c>
      <c r="H431" s="19">
        <f>H432</f>
        <v>0</v>
      </c>
      <c r="I431" s="19">
        <f>I432</f>
        <v>0</v>
      </c>
      <c r="J431" s="19">
        <f>J432</f>
        <v>45000000</v>
      </c>
    </row>
    <row r="432" spans="1:13" x14ac:dyDescent="0.25">
      <c r="A432" s="40" t="s">
        <v>925</v>
      </c>
      <c r="B432" s="29" t="s">
        <v>1</v>
      </c>
      <c r="C432" s="30" t="s">
        <v>167</v>
      </c>
      <c r="D432" s="31">
        <v>1</v>
      </c>
      <c r="E432" s="32" t="s">
        <v>16</v>
      </c>
      <c r="F432" s="31">
        <v>45000000</v>
      </c>
      <c r="G432" s="31">
        <f>ROUNDDOWN($D432*$F432,-3)</f>
        <v>45000000</v>
      </c>
      <c r="H432" s="31">
        <v>0</v>
      </c>
      <c r="I432" s="31">
        <f>SUMIF(dd_kuitansi[MAK],$A432,dd_kuitansi[Jumlah])</f>
        <v>0</v>
      </c>
      <c r="J432" s="31">
        <f>$G432-SUM($H432:$I432)</f>
        <v>45000000</v>
      </c>
    </row>
    <row r="433" spans="1:13" x14ac:dyDescent="0.25">
      <c r="A433" s="40" t="s">
        <v>557</v>
      </c>
      <c r="B433" s="17" t="s">
        <v>46</v>
      </c>
      <c r="C433" s="18" t="s">
        <v>47</v>
      </c>
      <c r="D433" s="19">
        <v>0</v>
      </c>
      <c r="E433" s="20" t="s">
        <v>1</v>
      </c>
      <c r="F433" s="19">
        <v>0</v>
      </c>
      <c r="G433" s="19">
        <f>G434</f>
        <v>12000000</v>
      </c>
      <c r="H433" s="19">
        <f>H434</f>
        <v>0</v>
      </c>
      <c r="I433" s="19">
        <f>I434</f>
        <v>0</v>
      </c>
      <c r="J433" s="19">
        <f>J434</f>
        <v>12000000</v>
      </c>
    </row>
    <row r="434" spans="1:13" x14ac:dyDescent="0.25">
      <c r="A434" s="40" t="s">
        <v>926</v>
      </c>
      <c r="B434" s="29" t="s">
        <v>1</v>
      </c>
      <c r="C434" s="30" t="s">
        <v>82</v>
      </c>
      <c r="D434" s="31">
        <v>12</v>
      </c>
      <c r="E434" s="32" t="s">
        <v>49</v>
      </c>
      <c r="F434" s="31">
        <v>1000000</v>
      </c>
      <c r="G434" s="31">
        <f>ROUNDDOWN($D434*$F434,-3)</f>
        <v>12000000</v>
      </c>
      <c r="H434" s="31">
        <v>0</v>
      </c>
      <c r="I434" s="31">
        <f>SUMIF(dd_kuitansi[MAK],$A434,dd_kuitansi[Jumlah])</f>
        <v>0</v>
      </c>
      <c r="J434" s="31">
        <f>$G434-SUM($H434:$I434)</f>
        <v>12000000</v>
      </c>
    </row>
    <row r="435" spans="1:13" x14ac:dyDescent="0.25">
      <c r="A435" s="40" t="s">
        <v>558</v>
      </c>
      <c r="B435" s="17" t="s">
        <v>50</v>
      </c>
      <c r="C435" s="18" t="s">
        <v>51</v>
      </c>
      <c r="D435" s="19">
        <v>0</v>
      </c>
      <c r="E435" s="20" t="s">
        <v>1</v>
      </c>
      <c r="F435" s="19">
        <v>0</v>
      </c>
      <c r="G435" s="19">
        <f>G436</f>
        <v>20000000</v>
      </c>
      <c r="H435" s="19">
        <f>H436</f>
        <v>0</v>
      </c>
      <c r="I435" s="19">
        <f>I436</f>
        <v>0</v>
      </c>
      <c r="J435" s="19">
        <f>J436</f>
        <v>20000000</v>
      </c>
    </row>
    <row r="436" spans="1:13" ht="25.5" x14ac:dyDescent="0.25">
      <c r="A436" s="40" t="s">
        <v>927</v>
      </c>
      <c r="B436" s="29" t="s">
        <v>1</v>
      </c>
      <c r="C436" s="30" t="s">
        <v>168</v>
      </c>
      <c r="D436" s="31">
        <v>4</v>
      </c>
      <c r="E436" s="32" t="s">
        <v>36</v>
      </c>
      <c r="F436" s="31">
        <v>5000000</v>
      </c>
      <c r="G436" s="31">
        <f>ROUNDDOWN($D436*$F436,-3)</f>
        <v>20000000</v>
      </c>
      <c r="H436" s="31">
        <v>0</v>
      </c>
      <c r="I436" s="31">
        <f>SUMIF(dd_kuitansi[MAK],$A436,dd_kuitansi[Jumlah])</f>
        <v>0</v>
      </c>
      <c r="J436" s="31">
        <f>$G436-SUM($H436:$I436)</f>
        <v>20000000</v>
      </c>
    </row>
    <row r="437" spans="1:13" s="9" customFormat="1" x14ac:dyDescent="0.25">
      <c r="A437" s="39" t="s">
        <v>559</v>
      </c>
      <c r="B437" s="17" t="s">
        <v>54</v>
      </c>
      <c r="C437" s="18" t="s">
        <v>55</v>
      </c>
      <c r="D437" s="19">
        <v>0</v>
      </c>
      <c r="E437" s="20" t="s">
        <v>1</v>
      </c>
      <c r="F437" s="19">
        <v>0</v>
      </c>
      <c r="G437" s="31">
        <f>SUM(G438:G440)</f>
        <v>25000000</v>
      </c>
      <c r="H437" s="31">
        <f>SUM(H438:H440)</f>
        <v>0</v>
      </c>
      <c r="I437" s="31">
        <f>SUM(I438:I440)</f>
        <v>0</v>
      </c>
      <c r="J437" s="31">
        <f>SUM(J438:J440)</f>
        <v>25000000</v>
      </c>
      <c r="M437" s="184"/>
    </row>
    <row r="438" spans="1:13" x14ac:dyDescent="0.25">
      <c r="A438" s="40" t="s">
        <v>928</v>
      </c>
      <c r="B438" s="29" t="s">
        <v>1</v>
      </c>
      <c r="C438" s="30" t="s">
        <v>56</v>
      </c>
      <c r="D438" s="31">
        <v>10</v>
      </c>
      <c r="E438" s="32" t="s">
        <v>36</v>
      </c>
      <c r="F438" s="31">
        <v>300000</v>
      </c>
      <c r="G438" s="31">
        <f>ROUNDDOWN($D438*$F438,-3)</f>
        <v>3000000</v>
      </c>
      <c r="H438" s="31">
        <v>0</v>
      </c>
      <c r="I438" s="31">
        <f>SUMIF(dd_kuitansi[MAK],$A438,dd_kuitansi[Jumlah])</f>
        <v>0</v>
      </c>
      <c r="J438" s="31">
        <f>$G438-SUM($H438:$I438)</f>
        <v>3000000</v>
      </c>
    </row>
    <row r="439" spans="1:13" s="9" customFormat="1" x14ac:dyDescent="0.25">
      <c r="A439" s="39" t="s">
        <v>929</v>
      </c>
      <c r="B439" s="29" t="s">
        <v>1</v>
      </c>
      <c r="C439" s="30" t="s">
        <v>57</v>
      </c>
      <c r="D439" s="31">
        <v>80</v>
      </c>
      <c r="E439" s="32" t="s">
        <v>36</v>
      </c>
      <c r="F439" s="31">
        <v>250000</v>
      </c>
      <c r="G439" s="31">
        <f>ROUNDDOWN($D439*$F439,-3)</f>
        <v>20000000</v>
      </c>
      <c r="H439" s="31">
        <v>0</v>
      </c>
      <c r="I439" s="31">
        <f>SUMIF(dd_kuitansi[MAK],$A439,dd_kuitansi[Jumlah])</f>
        <v>0</v>
      </c>
      <c r="J439" s="31">
        <f>$G439-SUM($H439:$I439)</f>
        <v>20000000</v>
      </c>
      <c r="M439" s="184"/>
    </row>
    <row r="440" spans="1:13" x14ac:dyDescent="0.25">
      <c r="A440" s="40" t="s">
        <v>930</v>
      </c>
      <c r="B440" s="29" t="s">
        <v>1</v>
      </c>
      <c r="C440" s="30" t="s">
        <v>58</v>
      </c>
      <c r="D440" s="31">
        <v>10</v>
      </c>
      <c r="E440" s="32" t="s">
        <v>36</v>
      </c>
      <c r="F440" s="31">
        <v>200000</v>
      </c>
      <c r="G440" s="31">
        <f>ROUNDDOWN($D440*$F440,-3)</f>
        <v>2000000</v>
      </c>
      <c r="H440" s="31">
        <v>0</v>
      </c>
      <c r="I440" s="31">
        <f>SUMIF(dd_kuitansi[MAK],$A440,dd_kuitansi[Jumlah])</f>
        <v>0</v>
      </c>
      <c r="J440" s="31">
        <f>$G440-SUM($H440:$I440)</f>
        <v>2000000</v>
      </c>
    </row>
    <row r="441" spans="1:13" s="9" customFormat="1" x14ac:dyDescent="0.25">
      <c r="A441" s="39" t="s">
        <v>560</v>
      </c>
      <c r="B441" s="17" t="s">
        <v>152</v>
      </c>
      <c r="C441" s="18" t="s">
        <v>153</v>
      </c>
      <c r="D441" s="19">
        <v>0</v>
      </c>
      <c r="E441" s="20" t="s">
        <v>1</v>
      </c>
      <c r="F441" s="19">
        <v>0</v>
      </c>
      <c r="G441" s="19">
        <f>SUM(G442:G447)</f>
        <v>456390000</v>
      </c>
      <c r="H441" s="19">
        <f>SUM(H442:H447)</f>
        <v>0</v>
      </c>
      <c r="I441" s="19">
        <f>SUM(I442:I447)</f>
        <v>0</v>
      </c>
      <c r="J441" s="19">
        <f>SUM(J442:J447)</f>
        <v>456390000</v>
      </c>
      <c r="M441" s="184"/>
    </row>
    <row r="442" spans="1:13" x14ac:dyDescent="0.25">
      <c r="A442" s="40" t="s">
        <v>931</v>
      </c>
      <c r="B442" s="29" t="s">
        <v>1</v>
      </c>
      <c r="C442" s="30" t="s">
        <v>169</v>
      </c>
      <c r="D442" s="31">
        <v>2</v>
      </c>
      <c r="E442" s="32" t="s">
        <v>155</v>
      </c>
      <c r="F442" s="31">
        <v>1500000</v>
      </c>
      <c r="G442" s="31">
        <f t="shared" ref="G442:G447" si="10">ROUNDDOWN($D442*$F442,-3)</f>
        <v>3000000</v>
      </c>
      <c r="H442" s="31">
        <v>0</v>
      </c>
      <c r="I442" s="31">
        <f>SUMIF(dd_kuitansi[MAK],$A442,dd_kuitansi[Jumlah])</f>
        <v>0</v>
      </c>
      <c r="J442" s="31">
        <f t="shared" ref="J442:J447" si="11">$G442-SUM($H442:$I442)</f>
        <v>3000000</v>
      </c>
    </row>
    <row r="443" spans="1:13" s="9" customFormat="1" x14ac:dyDescent="0.25">
      <c r="A443" s="39" t="s">
        <v>932</v>
      </c>
      <c r="B443" s="29" t="s">
        <v>1</v>
      </c>
      <c r="C443" s="30" t="s">
        <v>170</v>
      </c>
      <c r="D443" s="31">
        <v>3</v>
      </c>
      <c r="E443" s="32" t="s">
        <v>155</v>
      </c>
      <c r="F443" s="31">
        <v>1400000</v>
      </c>
      <c r="G443" s="31">
        <f t="shared" si="10"/>
        <v>4200000</v>
      </c>
      <c r="H443" s="31">
        <v>0</v>
      </c>
      <c r="I443" s="31">
        <f>SUMIF(dd_kuitansi[MAK],$A443,dd_kuitansi[Jumlah])</f>
        <v>0</v>
      </c>
      <c r="J443" s="31">
        <f t="shared" si="11"/>
        <v>4200000</v>
      </c>
      <c r="M443" s="184"/>
    </row>
    <row r="444" spans="1:13" x14ac:dyDescent="0.25">
      <c r="A444" s="40" t="s">
        <v>933</v>
      </c>
      <c r="B444" s="29" t="s">
        <v>1</v>
      </c>
      <c r="C444" s="30" t="s">
        <v>171</v>
      </c>
      <c r="D444" s="31">
        <v>270</v>
      </c>
      <c r="E444" s="32" t="s">
        <v>155</v>
      </c>
      <c r="F444" s="31">
        <v>710000</v>
      </c>
      <c r="G444" s="31">
        <f t="shared" si="10"/>
        <v>191700000</v>
      </c>
      <c r="H444" s="31">
        <v>0</v>
      </c>
      <c r="I444" s="31">
        <f>SUMIF(dd_kuitansi[MAK],$A444,dd_kuitansi[Jumlah])</f>
        <v>0</v>
      </c>
      <c r="J444" s="31">
        <f t="shared" si="11"/>
        <v>191700000</v>
      </c>
    </row>
    <row r="445" spans="1:13" x14ac:dyDescent="0.25">
      <c r="A445" s="40" t="s">
        <v>934</v>
      </c>
      <c r="B445" s="29" t="s">
        <v>1</v>
      </c>
      <c r="C445" s="30" t="s">
        <v>172</v>
      </c>
      <c r="D445" s="31">
        <v>8</v>
      </c>
      <c r="E445" s="32" t="s">
        <v>36</v>
      </c>
      <c r="F445" s="31">
        <v>201667</v>
      </c>
      <c r="G445" s="31">
        <f t="shared" si="10"/>
        <v>1613000</v>
      </c>
      <c r="H445" s="31">
        <v>0</v>
      </c>
      <c r="I445" s="31">
        <f>SUMIF(dd_kuitansi[MAK],$A445,dd_kuitansi[Jumlah])</f>
        <v>0</v>
      </c>
      <c r="J445" s="31">
        <f t="shared" si="11"/>
        <v>1613000</v>
      </c>
    </row>
    <row r="446" spans="1:13" x14ac:dyDescent="0.25">
      <c r="A446" s="40" t="s">
        <v>935</v>
      </c>
      <c r="B446" s="29" t="s">
        <v>1</v>
      </c>
      <c r="C446" s="30" t="s">
        <v>173</v>
      </c>
      <c r="D446" s="31">
        <v>360</v>
      </c>
      <c r="E446" s="32" t="s">
        <v>36</v>
      </c>
      <c r="F446" s="31">
        <v>140000</v>
      </c>
      <c r="G446" s="31">
        <f t="shared" si="10"/>
        <v>50400000</v>
      </c>
      <c r="H446" s="31">
        <v>0</v>
      </c>
      <c r="I446" s="31">
        <f>SUMIF(dd_kuitansi[MAK],$A446,dd_kuitansi[Jumlah])</f>
        <v>0</v>
      </c>
      <c r="J446" s="31">
        <f t="shared" si="11"/>
        <v>50400000</v>
      </c>
    </row>
    <row r="447" spans="1:13" s="9" customFormat="1" ht="25.5" x14ac:dyDescent="0.25">
      <c r="A447" s="39" t="s">
        <v>936</v>
      </c>
      <c r="B447" s="29" t="s">
        <v>1</v>
      </c>
      <c r="C447" s="30" t="s">
        <v>161</v>
      </c>
      <c r="D447" s="31">
        <v>30</v>
      </c>
      <c r="E447" s="32" t="s">
        <v>36</v>
      </c>
      <c r="F447" s="31">
        <v>6849250</v>
      </c>
      <c r="G447" s="31">
        <f t="shared" si="10"/>
        <v>205477000</v>
      </c>
      <c r="H447" s="31">
        <v>0</v>
      </c>
      <c r="I447" s="31">
        <f>SUMIF(dd_kuitansi[MAK],$A447,dd_kuitansi[Jumlah])</f>
        <v>0</v>
      </c>
      <c r="J447" s="31">
        <f t="shared" si="11"/>
        <v>205477000</v>
      </c>
      <c r="M447" s="184"/>
    </row>
    <row r="448" spans="1:13" x14ac:dyDescent="0.25">
      <c r="A448" s="40" t="s">
        <v>384</v>
      </c>
      <c r="B448" s="21" t="s">
        <v>174</v>
      </c>
      <c r="C448" s="22" t="s">
        <v>175</v>
      </c>
      <c r="D448" s="23">
        <v>0</v>
      </c>
      <c r="E448" s="24" t="s">
        <v>1</v>
      </c>
      <c r="F448" s="23">
        <v>0</v>
      </c>
      <c r="G448" s="23">
        <f>SUM(G449,G467,G487,G501)</f>
        <v>1319172000</v>
      </c>
      <c r="H448" s="23">
        <f>SUM(H449,H467,H487,H501)</f>
        <v>0</v>
      </c>
      <c r="I448" s="23">
        <f>SUM(I449,I467,I487,I501)</f>
        <v>0</v>
      </c>
      <c r="J448" s="23">
        <f>SUM(J449,J467,J487,J501)</f>
        <v>1319172000</v>
      </c>
    </row>
    <row r="449" spans="1:13" x14ac:dyDescent="0.25">
      <c r="A449" s="40" t="s">
        <v>416</v>
      </c>
      <c r="B449" s="25" t="s">
        <v>11</v>
      </c>
      <c r="C449" s="26" t="s">
        <v>176</v>
      </c>
      <c r="D449" s="27">
        <v>0</v>
      </c>
      <c r="E449" s="28" t="s">
        <v>1</v>
      </c>
      <c r="F449" s="27">
        <v>0</v>
      </c>
      <c r="G449" s="27">
        <f>SUM(G450,G456,G458,G460,G462)</f>
        <v>294896000</v>
      </c>
      <c r="H449" s="27">
        <f>SUM(H450,H456,H458,H460,H462)</f>
        <v>0</v>
      </c>
      <c r="I449" s="27">
        <f>SUM(I450,I456,I458,I460,I462)</f>
        <v>0</v>
      </c>
      <c r="J449" s="27">
        <f>SUM(J450,J456,J458,J460,J462)</f>
        <v>294896000</v>
      </c>
    </row>
    <row r="450" spans="1:13" x14ac:dyDescent="0.25">
      <c r="A450" s="40" t="s">
        <v>561</v>
      </c>
      <c r="B450" s="17" t="s">
        <v>33</v>
      </c>
      <c r="C450" s="18" t="s">
        <v>34</v>
      </c>
      <c r="D450" s="19">
        <v>0</v>
      </c>
      <c r="E450" s="20" t="s">
        <v>1</v>
      </c>
      <c r="F450" s="19">
        <v>0</v>
      </c>
      <c r="G450" s="19">
        <f>SUM(G451:G455)</f>
        <v>35060000</v>
      </c>
      <c r="H450" s="19">
        <f>SUM(H451:H455)</f>
        <v>0</v>
      </c>
      <c r="I450" s="19">
        <f>SUM(I451:I455)</f>
        <v>0</v>
      </c>
      <c r="J450" s="19">
        <f>SUM(J451:J455)</f>
        <v>35060000</v>
      </c>
    </row>
    <row r="451" spans="1:13" x14ac:dyDescent="0.25">
      <c r="A451" s="40" t="s">
        <v>937</v>
      </c>
      <c r="B451" s="29" t="s">
        <v>1</v>
      </c>
      <c r="C451" s="30" t="s">
        <v>35</v>
      </c>
      <c r="D451" s="31">
        <v>240</v>
      </c>
      <c r="E451" s="32" t="s">
        <v>36</v>
      </c>
      <c r="F451" s="31">
        <v>69000</v>
      </c>
      <c r="G451" s="31">
        <f>ROUNDDOWN($D451*$F451,-3)</f>
        <v>16560000</v>
      </c>
      <c r="H451" s="31">
        <v>0</v>
      </c>
      <c r="I451" s="31">
        <f>SUMIF(dd_kuitansi[MAK],$A451,dd_kuitansi[Jumlah])</f>
        <v>0</v>
      </c>
      <c r="J451" s="31">
        <f>$G451-SUM($H451:$I451)</f>
        <v>16560000</v>
      </c>
    </row>
    <row r="452" spans="1:13" x14ac:dyDescent="0.25">
      <c r="A452" s="40" t="s">
        <v>938</v>
      </c>
      <c r="B452" s="29" t="s">
        <v>1</v>
      </c>
      <c r="C452" s="30" t="s">
        <v>37</v>
      </c>
      <c r="D452" s="31">
        <v>4</v>
      </c>
      <c r="E452" s="32" t="s">
        <v>16</v>
      </c>
      <c r="F452" s="31">
        <v>1500000</v>
      </c>
      <c r="G452" s="31">
        <f>ROUNDDOWN($D452*$F452,-3)</f>
        <v>6000000</v>
      </c>
      <c r="H452" s="31">
        <v>0</v>
      </c>
      <c r="I452" s="31">
        <f>SUMIF(dd_kuitansi[MAK],$A452,dd_kuitansi[Jumlah])</f>
        <v>0</v>
      </c>
      <c r="J452" s="31">
        <f>$G452-SUM($H452:$I452)</f>
        <v>6000000</v>
      </c>
    </row>
    <row r="453" spans="1:13" x14ac:dyDescent="0.25">
      <c r="A453" s="40" t="s">
        <v>939</v>
      </c>
      <c r="B453" s="29" t="s">
        <v>1</v>
      </c>
      <c r="C453" s="30" t="s">
        <v>45</v>
      </c>
      <c r="D453" s="31">
        <v>4</v>
      </c>
      <c r="E453" s="32" t="s">
        <v>16</v>
      </c>
      <c r="F453" s="31">
        <v>1000000</v>
      </c>
      <c r="G453" s="31">
        <f>ROUNDDOWN($D453*$F453,-3)</f>
        <v>4000000</v>
      </c>
      <c r="H453" s="31">
        <v>0</v>
      </c>
      <c r="I453" s="31">
        <f>SUMIF(dd_kuitansi[MAK],$A453,dd_kuitansi[Jumlah])</f>
        <v>0</v>
      </c>
      <c r="J453" s="31">
        <f>$G453-SUM($H453:$I453)</f>
        <v>4000000</v>
      </c>
    </row>
    <row r="454" spans="1:13" s="9" customFormat="1" x14ac:dyDescent="0.25">
      <c r="A454" s="39" t="s">
        <v>940</v>
      </c>
      <c r="B454" s="29" t="s">
        <v>1</v>
      </c>
      <c r="C454" s="30" t="s">
        <v>43</v>
      </c>
      <c r="D454" s="31">
        <v>4</v>
      </c>
      <c r="E454" s="32" t="s">
        <v>16</v>
      </c>
      <c r="F454" s="31">
        <v>1500000</v>
      </c>
      <c r="G454" s="31">
        <f>ROUNDDOWN($D454*$F454,-3)</f>
        <v>6000000</v>
      </c>
      <c r="H454" s="31">
        <v>0</v>
      </c>
      <c r="I454" s="31">
        <f>SUMIF(dd_kuitansi[MAK],$A454,dd_kuitansi[Jumlah])</f>
        <v>0</v>
      </c>
      <c r="J454" s="31">
        <f>$G454-SUM($H454:$I454)</f>
        <v>6000000</v>
      </c>
      <c r="M454" s="184"/>
    </row>
    <row r="455" spans="1:13" s="9" customFormat="1" x14ac:dyDescent="0.25">
      <c r="A455" s="39" t="s">
        <v>941</v>
      </c>
      <c r="B455" s="29" t="s">
        <v>1</v>
      </c>
      <c r="C455" s="30" t="s">
        <v>100</v>
      </c>
      <c r="D455" s="31">
        <v>5</v>
      </c>
      <c r="E455" s="32" t="s">
        <v>177</v>
      </c>
      <c r="F455" s="31">
        <v>500000</v>
      </c>
      <c r="G455" s="31">
        <f>ROUNDDOWN($D455*$F455,-3)</f>
        <v>2500000</v>
      </c>
      <c r="H455" s="31">
        <v>0</v>
      </c>
      <c r="I455" s="31">
        <f>SUMIF(dd_kuitansi[MAK],$A455,dd_kuitansi[Jumlah])</f>
        <v>0</v>
      </c>
      <c r="J455" s="31">
        <f>$G455-SUM($H455:$I455)</f>
        <v>2500000</v>
      </c>
      <c r="M455" s="184"/>
    </row>
    <row r="456" spans="1:13" s="9" customFormat="1" x14ac:dyDescent="0.25">
      <c r="A456" s="39" t="s">
        <v>562</v>
      </c>
      <c r="B456" s="17" t="s">
        <v>46</v>
      </c>
      <c r="C456" s="18" t="s">
        <v>47</v>
      </c>
      <c r="D456" s="19">
        <v>0</v>
      </c>
      <c r="E456" s="20" t="s">
        <v>1</v>
      </c>
      <c r="F456" s="19">
        <v>0</v>
      </c>
      <c r="G456" s="19">
        <f>G457</f>
        <v>10000000</v>
      </c>
      <c r="H456" s="19">
        <f>H457</f>
        <v>0</v>
      </c>
      <c r="I456" s="19">
        <f>I457</f>
        <v>0</v>
      </c>
      <c r="J456" s="19">
        <f>J457</f>
        <v>10000000</v>
      </c>
      <c r="M456" s="184"/>
    </row>
    <row r="457" spans="1:13" x14ac:dyDescent="0.25">
      <c r="A457" s="40" t="s">
        <v>942</v>
      </c>
      <c r="B457" s="29" t="s">
        <v>1</v>
      </c>
      <c r="C457" s="30" t="s">
        <v>48</v>
      </c>
      <c r="D457" s="31">
        <v>10</v>
      </c>
      <c r="E457" s="32" t="s">
        <v>49</v>
      </c>
      <c r="F457" s="31">
        <v>1000000</v>
      </c>
      <c r="G457" s="31">
        <f>ROUNDDOWN($D457*$F457,-3)</f>
        <v>10000000</v>
      </c>
      <c r="H457" s="31">
        <v>0</v>
      </c>
      <c r="I457" s="31">
        <f>SUMIF(dd_kuitansi[MAK],$A457,dd_kuitansi[Jumlah])</f>
        <v>0</v>
      </c>
      <c r="J457" s="31">
        <f>$G457-SUM($H457:$I457)</f>
        <v>10000000</v>
      </c>
    </row>
    <row r="458" spans="1:13" x14ac:dyDescent="0.25">
      <c r="A458" s="40" t="s">
        <v>563</v>
      </c>
      <c r="B458" s="17" t="s">
        <v>50</v>
      </c>
      <c r="C458" s="18" t="s">
        <v>51</v>
      </c>
      <c r="D458" s="19">
        <v>0</v>
      </c>
      <c r="E458" s="20" t="s">
        <v>1</v>
      </c>
      <c r="F458" s="19">
        <v>0</v>
      </c>
      <c r="G458" s="19">
        <f>G459</f>
        <v>151436000</v>
      </c>
      <c r="H458" s="19">
        <f>H459</f>
        <v>0</v>
      </c>
      <c r="I458" s="19">
        <f>I459</f>
        <v>0</v>
      </c>
      <c r="J458" s="19">
        <f>J459</f>
        <v>151436000</v>
      </c>
    </row>
    <row r="459" spans="1:13" x14ac:dyDescent="0.25">
      <c r="A459" s="40" t="s">
        <v>943</v>
      </c>
      <c r="B459" s="29" t="s">
        <v>1</v>
      </c>
      <c r="C459" s="30" t="s">
        <v>178</v>
      </c>
      <c r="D459" s="31">
        <v>26</v>
      </c>
      <c r="E459" s="32" t="s">
        <v>36</v>
      </c>
      <c r="F459" s="31">
        <v>5824467</v>
      </c>
      <c r="G459" s="31">
        <f>ROUNDDOWN($D459*$F459,-3)</f>
        <v>151436000</v>
      </c>
      <c r="H459" s="31">
        <v>0</v>
      </c>
      <c r="I459" s="31">
        <f>SUMIF(dd_kuitansi[MAK],$A459,dd_kuitansi[Jumlah])</f>
        <v>0</v>
      </c>
      <c r="J459" s="31">
        <f>$G459-SUM($H459:$I459)</f>
        <v>151436000</v>
      </c>
    </row>
    <row r="460" spans="1:13" x14ac:dyDescent="0.25">
      <c r="A460" s="40" t="s">
        <v>564</v>
      </c>
      <c r="B460" s="17" t="s">
        <v>104</v>
      </c>
      <c r="C460" s="18" t="s">
        <v>105</v>
      </c>
      <c r="D460" s="19">
        <v>0</v>
      </c>
      <c r="E460" s="20" t="s">
        <v>1</v>
      </c>
      <c r="F460" s="19">
        <v>0</v>
      </c>
      <c r="G460" s="19">
        <f>G461</f>
        <v>14400000</v>
      </c>
      <c r="H460" s="19">
        <f>H461</f>
        <v>0</v>
      </c>
      <c r="I460" s="19">
        <f>I461</f>
        <v>0</v>
      </c>
      <c r="J460" s="19">
        <f>J461</f>
        <v>14400000</v>
      </c>
    </row>
    <row r="461" spans="1:13" x14ac:dyDescent="0.25">
      <c r="A461" s="40" t="s">
        <v>944</v>
      </c>
      <c r="B461" s="29" t="s">
        <v>1</v>
      </c>
      <c r="C461" s="30" t="s">
        <v>106</v>
      </c>
      <c r="D461" s="31">
        <v>96</v>
      </c>
      <c r="E461" s="32" t="s">
        <v>36</v>
      </c>
      <c r="F461" s="31">
        <v>150000</v>
      </c>
      <c r="G461" s="31">
        <f>ROUNDDOWN($D461*$F461,-3)</f>
        <v>14400000</v>
      </c>
      <c r="H461" s="31">
        <v>0</v>
      </c>
      <c r="I461" s="31">
        <f>SUMIF(dd_kuitansi[MAK],$A461,dd_kuitansi[Jumlah])</f>
        <v>0</v>
      </c>
      <c r="J461" s="31">
        <f>$G461-SUM($H461:$I461)</f>
        <v>14400000</v>
      </c>
    </row>
    <row r="462" spans="1:13" s="9" customFormat="1" x14ac:dyDescent="0.25">
      <c r="A462" s="39" t="s">
        <v>565</v>
      </c>
      <c r="B462" s="17" t="s">
        <v>54</v>
      </c>
      <c r="C462" s="18" t="s">
        <v>55</v>
      </c>
      <c r="D462" s="19">
        <v>0</v>
      </c>
      <c r="E462" s="20" t="s">
        <v>1</v>
      </c>
      <c r="F462" s="19">
        <v>0</v>
      </c>
      <c r="G462" s="19">
        <f>G463</f>
        <v>84000000</v>
      </c>
      <c r="H462" s="19">
        <f>H463</f>
        <v>0</v>
      </c>
      <c r="I462" s="19">
        <f>I463</f>
        <v>0</v>
      </c>
      <c r="J462" s="19">
        <f>J463</f>
        <v>84000000</v>
      </c>
      <c r="M462" s="184"/>
    </row>
    <row r="463" spans="1:13" x14ac:dyDescent="0.25">
      <c r="A463" s="40"/>
      <c r="B463" s="29" t="s">
        <v>1</v>
      </c>
      <c r="C463" s="33" t="s">
        <v>90</v>
      </c>
      <c r="D463" s="31">
        <v>0</v>
      </c>
      <c r="E463" s="32" t="s">
        <v>1</v>
      </c>
      <c r="F463" s="31">
        <v>0</v>
      </c>
      <c r="G463" s="31">
        <f>SUM(G464:G466)</f>
        <v>84000000</v>
      </c>
      <c r="H463" s="31">
        <f>SUM(H464:H466)</f>
        <v>0</v>
      </c>
      <c r="I463" s="31">
        <f>SUM(I464:I466)</f>
        <v>0</v>
      </c>
      <c r="J463" s="31">
        <f>SUM(J464:J466)</f>
        <v>84000000</v>
      </c>
    </row>
    <row r="464" spans="1:13" s="9" customFormat="1" x14ac:dyDescent="0.25">
      <c r="A464" s="39" t="s">
        <v>945</v>
      </c>
      <c r="B464" s="29" t="s">
        <v>1</v>
      </c>
      <c r="C464" s="30" t="s">
        <v>56</v>
      </c>
      <c r="D464" s="31">
        <v>55</v>
      </c>
      <c r="E464" s="32" t="s">
        <v>36</v>
      </c>
      <c r="F464" s="31">
        <v>300000</v>
      </c>
      <c r="G464" s="31">
        <f>ROUNDDOWN($D464*$F464,-3)</f>
        <v>16500000</v>
      </c>
      <c r="H464" s="31">
        <v>0</v>
      </c>
      <c r="I464" s="31">
        <f>SUMIF(dd_kuitansi[MAK],$A464,dd_kuitansi[Jumlah])</f>
        <v>0</v>
      </c>
      <c r="J464" s="31">
        <f>$G464-SUM($H464:$I464)</f>
        <v>16500000</v>
      </c>
      <c r="M464" s="184"/>
    </row>
    <row r="465" spans="1:13" x14ac:dyDescent="0.25">
      <c r="A465" s="40" t="s">
        <v>946</v>
      </c>
      <c r="B465" s="29" t="s">
        <v>1</v>
      </c>
      <c r="C465" s="30" t="s">
        <v>57</v>
      </c>
      <c r="D465" s="31">
        <v>250</v>
      </c>
      <c r="E465" s="32" t="s">
        <v>36</v>
      </c>
      <c r="F465" s="31">
        <v>250000</v>
      </c>
      <c r="G465" s="31">
        <f>ROUNDDOWN($D465*$F465,-3)</f>
        <v>62500000</v>
      </c>
      <c r="H465" s="31">
        <v>0</v>
      </c>
      <c r="I465" s="31">
        <f>SUMIF(dd_kuitansi[MAK],$A465,dd_kuitansi[Jumlah])</f>
        <v>0</v>
      </c>
      <c r="J465" s="31">
        <f>$G465-SUM($H465:$I465)</f>
        <v>62500000</v>
      </c>
    </row>
    <row r="466" spans="1:13" s="9" customFormat="1" x14ac:dyDescent="0.25">
      <c r="A466" s="39" t="s">
        <v>947</v>
      </c>
      <c r="B466" s="29" t="s">
        <v>1</v>
      </c>
      <c r="C466" s="30" t="s">
        <v>58</v>
      </c>
      <c r="D466" s="31">
        <v>25</v>
      </c>
      <c r="E466" s="32" t="s">
        <v>36</v>
      </c>
      <c r="F466" s="31">
        <v>200000</v>
      </c>
      <c r="G466" s="31">
        <f>ROUNDDOWN($D466*$F466,-3)</f>
        <v>5000000</v>
      </c>
      <c r="H466" s="31">
        <v>0</v>
      </c>
      <c r="I466" s="31">
        <f>SUMIF(dd_kuitansi[MAK],$A466,dd_kuitansi[Jumlah])</f>
        <v>0</v>
      </c>
      <c r="J466" s="31">
        <f>$G466-SUM($H466:$I466)</f>
        <v>5000000</v>
      </c>
      <c r="M466" s="184"/>
    </row>
    <row r="467" spans="1:13" x14ac:dyDescent="0.25">
      <c r="A467" s="40" t="s">
        <v>417</v>
      </c>
      <c r="B467" s="25" t="s">
        <v>17</v>
      </c>
      <c r="C467" s="26" t="s">
        <v>179</v>
      </c>
      <c r="D467" s="27">
        <v>0</v>
      </c>
      <c r="E467" s="28" t="s">
        <v>1</v>
      </c>
      <c r="F467" s="27">
        <v>0</v>
      </c>
      <c r="G467" s="27">
        <f>SUM(G468,G474,G476,G478,G480,G482)</f>
        <v>512656000</v>
      </c>
      <c r="H467" s="27">
        <f>SUM(H468,H474,H476,H478,H480,H482)</f>
        <v>0</v>
      </c>
      <c r="I467" s="27">
        <f>SUM(I468,I474,I476,I478,I480,I482)</f>
        <v>0</v>
      </c>
      <c r="J467" s="27">
        <f>SUM(J468,J474,J476,J478,J480,J482)</f>
        <v>512656000</v>
      </c>
    </row>
    <row r="468" spans="1:13" s="9" customFormat="1" x14ac:dyDescent="0.25">
      <c r="A468" s="39" t="s">
        <v>566</v>
      </c>
      <c r="B468" s="17" t="s">
        <v>33</v>
      </c>
      <c r="C468" s="18" t="s">
        <v>34</v>
      </c>
      <c r="D468" s="19">
        <v>0</v>
      </c>
      <c r="E468" s="20" t="s">
        <v>1</v>
      </c>
      <c r="F468" s="19">
        <v>0</v>
      </c>
      <c r="G468" s="19">
        <f>SUM(G469:G473)</f>
        <v>35060000</v>
      </c>
      <c r="H468" s="19">
        <f>SUM(H469:H473)</f>
        <v>0</v>
      </c>
      <c r="I468" s="19">
        <f>SUM(I469:I473)</f>
        <v>0</v>
      </c>
      <c r="J468" s="19">
        <f>SUM(J469:J473)</f>
        <v>35060000</v>
      </c>
      <c r="M468" s="184"/>
    </row>
    <row r="469" spans="1:13" x14ac:dyDescent="0.25">
      <c r="A469" s="40" t="s">
        <v>948</v>
      </c>
      <c r="B469" s="29" t="s">
        <v>1</v>
      </c>
      <c r="C469" s="30" t="s">
        <v>35</v>
      </c>
      <c r="D469" s="31">
        <v>240</v>
      </c>
      <c r="E469" s="32" t="s">
        <v>36</v>
      </c>
      <c r="F469" s="31">
        <v>69000</v>
      </c>
      <c r="G469" s="31">
        <f>ROUNDDOWN($D469*$F469,-3)</f>
        <v>16560000</v>
      </c>
      <c r="H469" s="31">
        <v>0</v>
      </c>
      <c r="I469" s="31">
        <f>SUMIF(dd_kuitansi[MAK],$A469,dd_kuitansi[Jumlah])</f>
        <v>0</v>
      </c>
      <c r="J469" s="31">
        <f>$G469-SUM($H469:$I469)</f>
        <v>16560000</v>
      </c>
    </row>
    <row r="470" spans="1:13" x14ac:dyDescent="0.25">
      <c r="A470" s="40" t="s">
        <v>949</v>
      </c>
      <c r="B470" s="29" t="s">
        <v>1</v>
      </c>
      <c r="C470" s="30" t="s">
        <v>37</v>
      </c>
      <c r="D470" s="31">
        <v>4</v>
      </c>
      <c r="E470" s="32" t="s">
        <v>16</v>
      </c>
      <c r="F470" s="31">
        <v>1500000</v>
      </c>
      <c r="G470" s="31">
        <f>ROUNDDOWN($D470*$F470,-3)</f>
        <v>6000000</v>
      </c>
      <c r="H470" s="31">
        <v>0</v>
      </c>
      <c r="I470" s="31">
        <f>SUMIF(dd_kuitansi[MAK],$A470,dd_kuitansi[Jumlah])</f>
        <v>0</v>
      </c>
      <c r="J470" s="31">
        <f>$G470-SUM($H470:$I470)</f>
        <v>6000000</v>
      </c>
    </row>
    <row r="471" spans="1:13" x14ac:dyDescent="0.25">
      <c r="A471" s="40" t="s">
        <v>950</v>
      </c>
      <c r="B471" s="29" t="s">
        <v>1</v>
      </c>
      <c r="C471" s="30" t="s">
        <v>45</v>
      </c>
      <c r="D471" s="31">
        <v>4</v>
      </c>
      <c r="E471" s="32" t="s">
        <v>16</v>
      </c>
      <c r="F471" s="31">
        <v>1000000</v>
      </c>
      <c r="G471" s="31">
        <f>ROUNDDOWN($D471*$F471,-3)</f>
        <v>4000000</v>
      </c>
      <c r="H471" s="31">
        <v>0</v>
      </c>
      <c r="I471" s="31">
        <f>SUMIF(dd_kuitansi[MAK],$A471,dd_kuitansi[Jumlah])</f>
        <v>0</v>
      </c>
      <c r="J471" s="31">
        <f>$G471-SUM($H471:$I471)</f>
        <v>4000000</v>
      </c>
    </row>
    <row r="472" spans="1:13" x14ac:dyDescent="0.25">
      <c r="A472" s="40" t="s">
        <v>951</v>
      </c>
      <c r="B472" s="29" t="s">
        <v>1</v>
      </c>
      <c r="C472" s="30" t="s">
        <v>43</v>
      </c>
      <c r="D472" s="31">
        <v>4</v>
      </c>
      <c r="E472" s="32" t="s">
        <v>16</v>
      </c>
      <c r="F472" s="31">
        <v>1500000</v>
      </c>
      <c r="G472" s="31">
        <f>ROUNDDOWN($D472*$F472,-3)</f>
        <v>6000000</v>
      </c>
      <c r="H472" s="31">
        <v>0</v>
      </c>
      <c r="I472" s="31">
        <f>SUMIF(dd_kuitansi[MAK],$A472,dd_kuitansi[Jumlah])</f>
        <v>0</v>
      </c>
      <c r="J472" s="31">
        <f>$G472-SUM($H472:$I472)</f>
        <v>6000000</v>
      </c>
    </row>
    <row r="473" spans="1:13" s="9" customFormat="1" x14ac:dyDescent="0.25">
      <c r="A473" s="39" t="s">
        <v>952</v>
      </c>
      <c r="B473" s="29" t="s">
        <v>1</v>
      </c>
      <c r="C473" s="30" t="s">
        <v>100</v>
      </c>
      <c r="D473" s="31">
        <v>5</v>
      </c>
      <c r="E473" s="32" t="s">
        <v>177</v>
      </c>
      <c r="F473" s="31">
        <v>500000</v>
      </c>
      <c r="G473" s="31">
        <f>ROUNDDOWN($D473*$F473,-3)</f>
        <v>2500000</v>
      </c>
      <c r="H473" s="31">
        <v>0</v>
      </c>
      <c r="I473" s="31">
        <f>SUMIF(dd_kuitansi[MAK],$A473,dd_kuitansi[Jumlah])</f>
        <v>0</v>
      </c>
      <c r="J473" s="31">
        <f>$G473-SUM($H473:$I473)</f>
        <v>2500000</v>
      </c>
      <c r="M473" s="184"/>
    </row>
    <row r="474" spans="1:13" s="9" customFormat="1" x14ac:dyDescent="0.25">
      <c r="A474" s="39" t="s">
        <v>567</v>
      </c>
      <c r="B474" s="17" t="s">
        <v>38</v>
      </c>
      <c r="C474" s="18" t="s">
        <v>39</v>
      </c>
      <c r="D474" s="19">
        <v>0</v>
      </c>
      <c r="E474" s="20" t="s">
        <v>1</v>
      </c>
      <c r="F474" s="19">
        <v>0</v>
      </c>
      <c r="G474" s="19">
        <f>G475</f>
        <v>90000000</v>
      </c>
      <c r="H474" s="19">
        <f>H475</f>
        <v>0</v>
      </c>
      <c r="I474" s="19">
        <f>I475</f>
        <v>0</v>
      </c>
      <c r="J474" s="19">
        <f>J475</f>
        <v>90000000</v>
      </c>
      <c r="M474" s="184"/>
    </row>
    <row r="475" spans="1:13" x14ac:dyDescent="0.25">
      <c r="A475" s="40" t="s">
        <v>953</v>
      </c>
      <c r="B475" s="29" t="s">
        <v>1</v>
      </c>
      <c r="C475" s="30" t="s">
        <v>180</v>
      </c>
      <c r="D475" s="31">
        <v>2</v>
      </c>
      <c r="E475" s="32" t="s">
        <v>16</v>
      </c>
      <c r="F475" s="31">
        <v>45000000</v>
      </c>
      <c r="G475" s="31">
        <f>ROUNDDOWN($D475*$F475,-3)</f>
        <v>90000000</v>
      </c>
      <c r="H475" s="31">
        <v>0</v>
      </c>
      <c r="I475" s="31">
        <f>SUMIF(dd_kuitansi[MAK],$A475,dd_kuitansi[Jumlah])</f>
        <v>0</v>
      </c>
      <c r="J475" s="31">
        <f>$G475-SUM($H475:$I475)</f>
        <v>90000000</v>
      </c>
    </row>
    <row r="476" spans="1:13" x14ac:dyDescent="0.25">
      <c r="A476" s="40" t="s">
        <v>568</v>
      </c>
      <c r="B476" s="17" t="s">
        <v>46</v>
      </c>
      <c r="C476" s="18" t="s">
        <v>47</v>
      </c>
      <c r="D476" s="19">
        <v>0</v>
      </c>
      <c r="E476" s="20" t="s">
        <v>1</v>
      </c>
      <c r="F476" s="19">
        <v>0</v>
      </c>
      <c r="G476" s="19">
        <f>G477</f>
        <v>50000000</v>
      </c>
      <c r="H476" s="19">
        <f>H477</f>
        <v>0</v>
      </c>
      <c r="I476" s="19">
        <f>I477</f>
        <v>0</v>
      </c>
      <c r="J476" s="19">
        <f>J477</f>
        <v>50000000</v>
      </c>
    </row>
    <row r="477" spans="1:13" x14ac:dyDescent="0.25">
      <c r="A477" s="40" t="s">
        <v>954</v>
      </c>
      <c r="B477" s="29" t="s">
        <v>1</v>
      </c>
      <c r="C477" s="30" t="s">
        <v>124</v>
      </c>
      <c r="D477" s="31">
        <v>50</v>
      </c>
      <c r="E477" s="32" t="s">
        <v>49</v>
      </c>
      <c r="F477" s="31">
        <v>1000000</v>
      </c>
      <c r="G477" s="31">
        <f>ROUNDDOWN($D477*$F477,-3)</f>
        <v>50000000</v>
      </c>
      <c r="H477" s="31">
        <v>0</v>
      </c>
      <c r="I477" s="31">
        <f>SUMIF(dd_kuitansi[MAK],$A477,dd_kuitansi[Jumlah])</f>
        <v>0</v>
      </c>
      <c r="J477" s="31">
        <f>$G477-SUM($H477:$I477)</f>
        <v>50000000</v>
      </c>
    </row>
    <row r="478" spans="1:13" x14ac:dyDescent="0.25">
      <c r="A478" s="40" t="s">
        <v>569</v>
      </c>
      <c r="B478" s="17" t="s">
        <v>50</v>
      </c>
      <c r="C478" s="18" t="s">
        <v>51</v>
      </c>
      <c r="D478" s="19">
        <v>0</v>
      </c>
      <c r="E478" s="20" t="s">
        <v>1</v>
      </c>
      <c r="F478" s="19">
        <v>0</v>
      </c>
      <c r="G478" s="19">
        <f>G479</f>
        <v>235596000</v>
      </c>
      <c r="H478" s="19">
        <f>H479</f>
        <v>0</v>
      </c>
      <c r="I478" s="19">
        <f>I479</f>
        <v>0</v>
      </c>
      <c r="J478" s="19">
        <f>J479</f>
        <v>235596000</v>
      </c>
    </row>
    <row r="479" spans="1:13" x14ac:dyDescent="0.25">
      <c r="A479" s="40" t="s">
        <v>955</v>
      </c>
      <c r="B479" s="29" t="s">
        <v>1</v>
      </c>
      <c r="C479" s="30" t="s">
        <v>180</v>
      </c>
      <c r="D479" s="31">
        <v>40</v>
      </c>
      <c r="E479" s="32" t="s">
        <v>36</v>
      </c>
      <c r="F479" s="31">
        <v>5889900</v>
      </c>
      <c r="G479" s="31">
        <f>ROUNDDOWN($D479*$F479,-3)</f>
        <v>235596000</v>
      </c>
      <c r="H479" s="31">
        <v>0</v>
      </c>
      <c r="I479" s="31">
        <f>SUMIF(dd_kuitansi[MAK],$A479,dd_kuitansi[Jumlah])</f>
        <v>0</v>
      </c>
      <c r="J479" s="31">
        <f>$G479-SUM($H479:$I479)</f>
        <v>235596000</v>
      </c>
    </row>
    <row r="480" spans="1:13" s="9" customFormat="1" x14ac:dyDescent="0.25">
      <c r="A480" s="39" t="s">
        <v>570</v>
      </c>
      <c r="B480" s="17" t="s">
        <v>104</v>
      </c>
      <c r="C480" s="18" t="s">
        <v>105</v>
      </c>
      <c r="D480" s="19">
        <v>0</v>
      </c>
      <c r="E480" s="20" t="s">
        <v>1</v>
      </c>
      <c r="F480" s="19">
        <v>0</v>
      </c>
      <c r="G480" s="19">
        <f>G481</f>
        <v>18000000</v>
      </c>
      <c r="H480" s="19">
        <f>H481</f>
        <v>0</v>
      </c>
      <c r="I480" s="19">
        <f>I481</f>
        <v>0</v>
      </c>
      <c r="J480" s="19">
        <f>J481</f>
        <v>18000000</v>
      </c>
      <c r="M480" s="184"/>
    </row>
    <row r="481" spans="1:13" x14ac:dyDescent="0.25">
      <c r="A481" s="40" t="s">
        <v>956</v>
      </c>
      <c r="B481" s="29" t="s">
        <v>1</v>
      </c>
      <c r="C481" s="30" t="s">
        <v>106</v>
      </c>
      <c r="D481" s="31">
        <v>120</v>
      </c>
      <c r="E481" s="32" t="s">
        <v>36</v>
      </c>
      <c r="F481" s="31">
        <v>150000</v>
      </c>
      <c r="G481" s="31">
        <f>ROUNDDOWN($D481*$F481,-3)</f>
        <v>18000000</v>
      </c>
      <c r="H481" s="31">
        <v>0</v>
      </c>
      <c r="I481" s="31">
        <f>SUMIF(dd_kuitansi[MAK],$A481,dd_kuitansi[Jumlah])</f>
        <v>0</v>
      </c>
      <c r="J481" s="31">
        <f>$G481-SUM($H481:$I481)</f>
        <v>18000000</v>
      </c>
    </row>
    <row r="482" spans="1:13" s="9" customFormat="1" x14ac:dyDescent="0.25">
      <c r="A482" s="39" t="s">
        <v>571</v>
      </c>
      <c r="B482" s="17" t="s">
        <v>54</v>
      </c>
      <c r="C482" s="18" t="s">
        <v>55</v>
      </c>
      <c r="D482" s="19">
        <v>0</v>
      </c>
      <c r="E482" s="20" t="s">
        <v>1</v>
      </c>
      <c r="F482" s="19">
        <v>0</v>
      </c>
      <c r="G482" s="19">
        <f>SUM(G483:G486)</f>
        <v>84000000</v>
      </c>
      <c r="H482" s="19">
        <f>SUM(H483:H486)</f>
        <v>0</v>
      </c>
      <c r="I482" s="19">
        <f>SUM(I483:I486)</f>
        <v>0</v>
      </c>
      <c r="J482" s="19">
        <f>SUM(J483:J486)</f>
        <v>84000000</v>
      </c>
      <c r="M482" s="184"/>
    </row>
    <row r="483" spans="1:13" x14ac:dyDescent="0.25">
      <c r="A483" s="40"/>
      <c r="B483" s="29" t="s">
        <v>1</v>
      </c>
      <c r="C483" s="33" t="s">
        <v>90</v>
      </c>
      <c r="D483" s="31">
        <v>0</v>
      </c>
      <c r="E483" s="32" t="s">
        <v>1</v>
      </c>
      <c r="F483" s="31">
        <v>0</v>
      </c>
      <c r="G483" s="31">
        <v>0</v>
      </c>
      <c r="H483" s="31">
        <v>0</v>
      </c>
      <c r="I483" s="31">
        <v>0</v>
      </c>
      <c r="J483" s="31">
        <v>0</v>
      </c>
    </row>
    <row r="484" spans="1:13" s="9" customFormat="1" x14ac:dyDescent="0.25">
      <c r="A484" s="39" t="s">
        <v>957</v>
      </c>
      <c r="B484" s="29" t="s">
        <v>1</v>
      </c>
      <c r="C484" s="30" t="s">
        <v>56</v>
      </c>
      <c r="D484" s="31">
        <v>55</v>
      </c>
      <c r="E484" s="32" t="s">
        <v>36</v>
      </c>
      <c r="F484" s="31">
        <v>300000</v>
      </c>
      <c r="G484" s="31">
        <f>ROUNDDOWN($D484*$F484,-3)</f>
        <v>16500000</v>
      </c>
      <c r="H484" s="31">
        <v>0</v>
      </c>
      <c r="I484" s="31">
        <f>SUMIF(dd_kuitansi[MAK],$A484,dd_kuitansi[Jumlah])</f>
        <v>0</v>
      </c>
      <c r="J484" s="31">
        <f>$G484-SUM($H484:$I484)</f>
        <v>16500000</v>
      </c>
      <c r="M484" s="184"/>
    </row>
    <row r="485" spans="1:13" x14ac:dyDescent="0.25">
      <c r="A485" s="40" t="s">
        <v>958</v>
      </c>
      <c r="B485" s="29" t="s">
        <v>1</v>
      </c>
      <c r="C485" s="30" t="s">
        <v>57</v>
      </c>
      <c r="D485" s="31">
        <v>250</v>
      </c>
      <c r="E485" s="32" t="s">
        <v>36</v>
      </c>
      <c r="F485" s="31">
        <v>250000</v>
      </c>
      <c r="G485" s="31">
        <f>ROUNDDOWN($D485*$F485,-3)</f>
        <v>62500000</v>
      </c>
      <c r="H485" s="31">
        <v>0</v>
      </c>
      <c r="I485" s="31">
        <f>SUMIF(dd_kuitansi[MAK],$A485,dd_kuitansi[Jumlah])</f>
        <v>0</v>
      </c>
      <c r="J485" s="31">
        <f>$G485-SUM($H485:$I485)</f>
        <v>62500000</v>
      </c>
    </row>
    <row r="486" spans="1:13" s="9" customFormat="1" x14ac:dyDescent="0.25">
      <c r="A486" s="39" t="s">
        <v>959</v>
      </c>
      <c r="B486" s="29" t="s">
        <v>1</v>
      </c>
      <c r="C486" s="30" t="s">
        <v>58</v>
      </c>
      <c r="D486" s="31">
        <v>25</v>
      </c>
      <c r="E486" s="32" t="s">
        <v>36</v>
      </c>
      <c r="F486" s="31">
        <v>200000</v>
      </c>
      <c r="G486" s="31">
        <f>ROUNDDOWN($D486*$F486,-3)</f>
        <v>5000000</v>
      </c>
      <c r="H486" s="31">
        <v>0</v>
      </c>
      <c r="I486" s="31">
        <f>SUMIF(dd_kuitansi[MAK],$A486,dd_kuitansi[Jumlah])</f>
        <v>0</v>
      </c>
      <c r="J486" s="31">
        <f>$G486-SUM($H486:$I486)</f>
        <v>5000000</v>
      </c>
      <c r="M486" s="184"/>
    </row>
    <row r="487" spans="1:13" x14ac:dyDescent="0.25">
      <c r="A487" s="40" t="s">
        <v>418</v>
      </c>
      <c r="B487" s="25" t="s">
        <v>65</v>
      </c>
      <c r="C487" s="26" t="s">
        <v>181</v>
      </c>
      <c r="D487" s="27">
        <v>0</v>
      </c>
      <c r="E487" s="28" t="s">
        <v>1</v>
      </c>
      <c r="F487" s="27">
        <v>0</v>
      </c>
      <c r="G487" s="27">
        <f>SUM(G488,G494,G496)</f>
        <v>129960000</v>
      </c>
      <c r="H487" s="27">
        <f>SUM(H488,H494,H496)</f>
        <v>0</v>
      </c>
      <c r="I487" s="27">
        <f>SUM(I488,I494,I496)</f>
        <v>0</v>
      </c>
      <c r="J487" s="27">
        <f>SUM(J488,J494,J496)</f>
        <v>129960000</v>
      </c>
    </row>
    <row r="488" spans="1:13" s="9" customFormat="1" x14ac:dyDescent="0.25">
      <c r="A488" s="39" t="s">
        <v>572</v>
      </c>
      <c r="B488" s="17" t="s">
        <v>33</v>
      </c>
      <c r="C488" s="18" t="s">
        <v>34</v>
      </c>
      <c r="D488" s="19">
        <v>0</v>
      </c>
      <c r="E488" s="20" t="s">
        <v>1</v>
      </c>
      <c r="F488" s="19">
        <v>0</v>
      </c>
      <c r="G488" s="19">
        <f>SUM(G489:G493)</f>
        <v>31560000</v>
      </c>
      <c r="H488" s="19">
        <f>SUM(H489:H493)</f>
        <v>0</v>
      </c>
      <c r="I488" s="19">
        <f>SUM(I489:I493)</f>
        <v>0</v>
      </c>
      <c r="J488" s="19">
        <f>SUM(J489:J493)</f>
        <v>31560000</v>
      </c>
      <c r="M488" s="184"/>
    </row>
    <row r="489" spans="1:13" x14ac:dyDescent="0.25">
      <c r="A489" s="40" t="s">
        <v>960</v>
      </c>
      <c r="B489" s="29" t="s">
        <v>1</v>
      </c>
      <c r="C489" s="30" t="s">
        <v>35</v>
      </c>
      <c r="D489" s="31">
        <v>240</v>
      </c>
      <c r="E489" s="32" t="s">
        <v>36</v>
      </c>
      <c r="F489" s="31">
        <v>69000</v>
      </c>
      <c r="G489" s="31">
        <f>ROUNDDOWN($D489*$F489,-3)</f>
        <v>16560000</v>
      </c>
      <c r="H489" s="31">
        <v>0</v>
      </c>
      <c r="I489" s="31">
        <f>SUMIF(dd_kuitansi[MAK],$A489,dd_kuitansi[Jumlah])</f>
        <v>0</v>
      </c>
      <c r="J489" s="31">
        <f>$G489-SUM($H489:$I489)</f>
        <v>16560000</v>
      </c>
    </row>
    <row r="490" spans="1:13" x14ac:dyDescent="0.25">
      <c r="A490" s="40" t="s">
        <v>961</v>
      </c>
      <c r="B490" s="29" t="s">
        <v>1</v>
      </c>
      <c r="C490" s="30" t="s">
        <v>37</v>
      </c>
      <c r="D490" s="31">
        <v>4</v>
      </c>
      <c r="E490" s="32" t="s">
        <v>16</v>
      </c>
      <c r="F490" s="31">
        <v>1500000</v>
      </c>
      <c r="G490" s="31">
        <f>ROUNDDOWN($D490*$F490,-3)</f>
        <v>6000000</v>
      </c>
      <c r="H490" s="31">
        <v>0</v>
      </c>
      <c r="I490" s="31">
        <f>SUMIF(dd_kuitansi[MAK],$A490,dd_kuitansi[Jumlah])</f>
        <v>0</v>
      </c>
      <c r="J490" s="31">
        <f>$G490-SUM($H490:$I490)</f>
        <v>6000000</v>
      </c>
    </row>
    <row r="491" spans="1:13" x14ac:dyDescent="0.25">
      <c r="A491" s="40" t="s">
        <v>962</v>
      </c>
      <c r="B491" s="29" t="s">
        <v>1</v>
      </c>
      <c r="C491" s="30" t="s">
        <v>45</v>
      </c>
      <c r="D491" s="31">
        <v>2</v>
      </c>
      <c r="E491" s="32" t="s">
        <v>16</v>
      </c>
      <c r="F491" s="31">
        <v>1000000</v>
      </c>
      <c r="G491" s="31">
        <f>ROUNDDOWN($D491*$F491,-3)</f>
        <v>2000000</v>
      </c>
      <c r="H491" s="31">
        <v>0</v>
      </c>
      <c r="I491" s="31">
        <f>SUMIF(dd_kuitansi[MAK],$A491,dd_kuitansi[Jumlah])</f>
        <v>0</v>
      </c>
      <c r="J491" s="31">
        <f>$G491-SUM($H491:$I491)</f>
        <v>2000000</v>
      </c>
    </row>
    <row r="492" spans="1:13" x14ac:dyDescent="0.25">
      <c r="A492" s="40" t="s">
        <v>963</v>
      </c>
      <c r="B492" s="29" t="s">
        <v>1</v>
      </c>
      <c r="C492" s="30" t="s">
        <v>43</v>
      </c>
      <c r="D492" s="31">
        <v>2</v>
      </c>
      <c r="E492" s="32" t="s">
        <v>16</v>
      </c>
      <c r="F492" s="31">
        <v>1500000</v>
      </c>
      <c r="G492" s="31">
        <f>ROUNDDOWN($D492*$F492,-3)</f>
        <v>3000000</v>
      </c>
      <c r="H492" s="31">
        <v>0</v>
      </c>
      <c r="I492" s="31">
        <f>SUMIF(dd_kuitansi[MAK],$A492,dd_kuitansi[Jumlah])</f>
        <v>0</v>
      </c>
      <c r="J492" s="31">
        <f>$G492-SUM($H492:$I492)</f>
        <v>3000000</v>
      </c>
    </row>
    <row r="493" spans="1:13" s="9" customFormat="1" x14ac:dyDescent="0.25">
      <c r="A493" s="39" t="s">
        <v>964</v>
      </c>
      <c r="B493" s="29" t="s">
        <v>1</v>
      </c>
      <c r="C493" s="30" t="s">
        <v>149</v>
      </c>
      <c r="D493" s="31">
        <v>8</v>
      </c>
      <c r="E493" s="32" t="s">
        <v>16</v>
      </c>
      <c r="F493" s="31">
        <v>500000</v>
      </c>
      <c r="G493" s="31">
        <f>ROUNDDOWN($D493*$F493,-3)</f>
        <v>4000000</v>
      </c>
      <c r="H493" s="31">
        <v>0</v>
      </c>
      <c r="I493" s="31">
        <f>SUMIF(dd_kuitansi[MAK],$A493,dd_kuitansi[Jumlah])</f>
        <v>0</v>
      </c>
      <c r="J493" s="31">
        <f>$G493-SUM($H493:$I493)</f>
        <v>4000000</v>
      </c>
      <c r="M493" s="184"/>
    </row>
    <row r="494" spans="1:13" s="9" customFormat="1" x14ac:dyDescent="0.25">
      <c r="A494" s="39" t="s">
        <v>573</v>
      </c>
      <c r="B494" s="17" t="s">
        <v>104</v>
      </c>
      <c r="C494" s="18" t="s">
        <v>105</v>
      </c>
      <c r="D494" s="19">
        <v>0</v>
      </c>
      <c r="E494" s="20" t="s">
        <v>1</v>
      </c>
      <c r="F494" s="19">
        <v>0</v>
      </c>
      <c r="G494" s="19">
        <f>G495</f>
        <v>14400000</v>
      </c>
      <c r="H494" s="19">
        <f>H495</f>
        <v>0</v>
      </c>
      <c r="I494" s="19">
        <f>I495</f>
        <v>0</v>
      </c>
      <c r="J494" s="19">
        <f>J495</f>
        <v>14400000</v>
      </c>
      <c r="M494" s="184"/>
    </row>
    <row r="495" spans="1:13" x14ac:dyDescent="0.25">
      <c r="A495" s="40" t="s">
        <v>965</v>
      </c>
      <c r="B495" s="29" t="s">
        <v>1</v>
      </c>
      <c r="C495" s="30" t="s">
        <v>106</v>
      </c>
      <c r="D495" s="31">
        <v>96</v>
      </c>
      <c r="E495" s="32" t="s">
        <v>36</v>
      </c>
      <c r="F495" s="31">
        <v>150000</v>
      </c>
      <c r="G495" s="31">
        <f>ROUNDDOWN($D495*$F495,-3)</f>
        <v>14400000</v>
      </c>
      <c r="H495" s="31">
        <v>0</v>
      </c>
      <c r="I495" s="31">
        <f>SUMIF(dd_kuitansi[MAK],$A495,dd_kuitansi[Jumlah])</f>
        <v>0</v>
      </c>
      <c r="J495" s="31">
        <f>$G495-SUM($H495:$I495)</f>
        <v>14400000</v>
      </c>
    </row>
    <row r="496" spans="1:13" x14ac:dyDescent="0.25">
      <c r="A496" s="40" t="s">
        <v>574</v>
      </c>
      <c r="B496" s="17" t="s">
        <v>54</v>
      </c>
      <c r="C496" s="18" t="s">
        <v>55</v>
      </c>
      <c r="D496" s="19">
        <v>0</v>
      </c>
      <c r="E496" s="20" t="s">
        <v>1</v>
      </c>
      <c r="F496" s="19">
        <v>0</v>
      </c>
      <c r="G496" s="19">
        <f>SUM(G497:G500)</f>
        <v>84000000</v>
      </c>
      <c r="H496" s="19">
        <f>SUM(H497:H500)</f>
        <v>0</v>
      </c>
      <c r="I496" s="19">
        <f>SUM(I497:I500)</f>
        <v>0</v>
      </c>
      <c r="J496" s="19">
        <f>SUM(J497:J500)</f>
        <v>84000000</v>
      </c>
    </row>
    <row r="497" spans="1:13" x14ac:dyDescent="0.25">
      <c r="A497" s="40"/>
      <c r="B497" s="29" t="s">
        <v>1</v>
      </c>
      <c r="C497" s="33" t="s">
        <v>90</v>
      </c>
      <c r="D497" s="31">
        <v>0</v>
      </c>
      <c r="E497" s="32" t="s">
        <v>1</v>
      </c>
      <c r="F497" s="31">
        <v>0</v>
      </c>
      <c r="G497" s="31">
        <v>0</v>
      </c>
      <c r="H497" s="31">
        <v>0</v>
      </c>
      <c r="I497" s="31">
        <v>0</v>
      </c>
      <c r="J497" s="31">
        <v>0</v>
      </c>
    </row>
    <row r="498" spans="1:13" x14ac:dyDescent="0.25">
      <c r="A498" s="40" t="s">
        <v>966</v>
      </c>
      <c r="B498" s="29" t="s">
        <v>1</v>
      </c>
      <c r="C498" s="30" t="s">
        <v>56</v>
      </c>
      <c r="D498" s="31">
        <v>55</v>
      </c>
      <c r="E498" s="32" t="s">
        <v>36</v>
      </c>
      <c r="F498" s="31">
        <v>300000</v>
      </c>
      <c r="G498" s="31">
        <f>ROUNDDOWN($D498*$F498,-3)</f>
        <v>16500000</v>
      </c>
      <c r="H498" s="31">
        <v>0</v>
      </c>
      <c r="I498" s="31">
        <f>SUMIF(dd_kuitansi[MAK],$A498,dd_kuitansi[Jumlah])</f>
        <v>0</v>
      </c>
      <c r="J498" s="31">
        <f>$G498-SUM($H498:$I498)</f>
        <v>16500000</v>
      </c>
    </row>
    <row r="499" spans="1:13" x14ac:dyDescent="0.25">
      <c r="A499" s="40" t="s">
        <v>967</v>
      </c>
      <c r="B499" s="29" t="s">
        <v>1</v>
      </c>
      <c r="C499" s="30" t="s">
        <v>57</v>
      </c>
      <c r="D499" s="31">
        <v>250</v>
      </c>
      <c r="E499" s="32" t="s">
        <v>36</v>
      </c>
      <c r="F499" s="31">
        <v>250000</v>
      </c>
      <c r="G499" s="31">
        <f>ROUNDDOWN($D499*$F499,-3)</f>
        <v>62500000</v>
      </c>
      <c r="H499" s="31">
        <v>0</v>
      </c>
      <c r="I499" s="31">
        <f>SUMIF(dd_kuitansi[MAK],$A499,dd_kuitansi[Jumlah])</f>
        <v>0</v>
      </c>
      <c r="J499" s="31">
        <f>$G499-SUM($H499:$I499)</f>
        <v>62500000</v>
      </c>
    </row>
    <row r="500" spans="1:13" s="9" customFormat="1" x14ac:dyDescent="0.25">
      <c r="A500" s="39" t="s">
        <v>968</v>
      </c>
      <c r="B500" s="29" t="s">
        <v>1</v>
      </c>
      <c r="C500" s="30" t="s">
        <v>58</v>
      </c>
      <c r="D500" s="31">
        <v>25</v>
      </c>
      <c r="E500" s="32" t="s">
        <v>36</v>
      </c>
      <c r="F500" s="31">
        <v>200000</v>
      </c>
      <c r="G500" s="31">
        <f>ROUNDDOWN($D500*$F500,-3)</f>
        <v>5000000</v>
      </c>
      <c r="H500" s="31">
        <v>0</v>
      </c>
      <c r="I500" s="31">
        <f>SUMIF(dd_kuitansi[MAK],$A500,dd_kuitansi[Jumlah])</f>
        <v>0</v>
      </c>
      <c r="J500" s="31">
        <f>$G500-SUM($H500:$I500)</f>
        <v>5000000</v>
      </c>
      <c r="M500" s="184"/>
    </row>
    <row r="501" spans="1:13" x14ac:dyDescent="0.25">
      <c r="A501" s="40" t="s">
        <v>419</v>
      </c>
      <c r="B501" s="25" t="s">
        <v>68</v>
      </c>
      <c r="C501" s="26" t="s">
        <v>182</v>
      </c>
      <c r="D501" s="27">
        <v>0</v>
      </c>
      <c r="E501" s="28" t="s">
        <v>1</v>
      </c>
      <c r="F501" s="27">
        <v>0</v>
      </c>
      <c r="G501" s="27">
        <f>SUM(G502,G508,G510,G512)</f>
        <v>381660000</v>
      </c>
      <c r="H501" s="27">
        <f>SUM(H502,H508,H510,H512)</f>
        <v>0</v>
      </c>
      <c r="I501" s="27">
        <f>SUM(I502,I508,I510,I512)</f>
        <v>0</v>
      </c>
      <c r="J501" s="27">
        <f>SUM(J502,J508,J510,J512)</f>
        <v>381660000</v>
      </c>
    </row>
    <row r="502" spans="1:13" s="9" customFormat="1" x14ac:dyDescent="0.25">
      <c r="A502" s="39" t="s">
        <v>575</v>
      </c>
      <c r="B502" s="17" t="s">
        <v>33</v>
      </c>
      <c r="C502" s="18" t="s">
        <v>34</v>
      </c>
      <c r="D502" s="19">
        <v>0</v>
      </c>
      <c r="E502" s="20" t="s">
        <v>1</v>
      </c>
      <c r="F502" s="19">
        <v>0</v>
      </c>
      <c r="G502" s="19">
        <f>SUM(G503:G507)</f>
        <v>35060000</v>
      </c>
      <c r="H502" s="19">
        <f>SUM(H503:H507)</f>
        <v>0</v>
      </c>
      <c r="I502" s="19">
        <f>SUM(I503:I507)</f>
        <v>0</v>
      </c>
      <c r="J502" s="19">
        <f>SUM(J503:J507)</f>
        <v>35060000</v>
      </c>
      <c r="M502" s="184"/>
    </row>
    <row r="503" spans="1:13" x14ac:dyDescent="0.25">
      <c r="A503" s="40" t="s">
        <v>969</v>
      </c>
      <c r="B503" s="29" t="s">
        <v>1</v>
      </c>
      <c r="C503" s="30" t="s">
        <v>35</v>
      </c>
      <c r="D503" s="31">
        <v>240</v>
      </c>
      <c r="E503" s="32" t="s">
        <v>36</v>
      </c>
      <c r="F503" s="31">
        <v>69000</v>
      </c>
      <c r="G503" s="31">
        <f>ROUNDDOWN($D503*$F503,-3)</f>
        <v>16560000</v>
      </c>
      <c r="H503" s="31">
        <v>0</v>
      </c>
      <c r="I503" s="31">
        <f>SUMIF(dd_kuitansi[MAK],$A503,dd_kuitansi[Jumlah])</f>
        <v>0</v>
      </c>
      <c r="J503" s="31">
        <f>$G503-SUM($H503:$I503)</f>
        <v>16560000</v>
      </c>
    </row>
    <row r="504" spans="1:13" x14ac:dyDescent="0.25">
      <c r="A504" s="40" t="s">
        <v>970</v>
      </c>
      <c r="B504" s="29" t="s">
        <v>1</v>
      </c>
      <c r="C504" s="30" t="s">
        <v>37</v>
      </c>
      <c r="D504" s="31">
        <v>4</v>
      </c>
      <c r="E504" s="32" t="s">
        <v>16</v>
      </c>
      <c r="F504" s="31">
        <v>1500000</v>
      </c>
      <c r="G504" s="31">
        <f>ROUNDDOWN($D504*$F504,-3)</f>
        <v>6000000</v>
      </c>
      <c r="H504" s="31">
        <v>0</v>
      </c>
      <c r="I504" s="31">
        <f>SUMIF(dd_kuitansi[MAK],$A504,dd_kuitansi[Jumlah])</f>
        <v>0</v>
      </c>
      <c r="J504" s="31">
        <f>$G504-SUM($H504:$I504)</f>
        <v>6000000</v>
      </c>
    </row>
    <row r="505" spans="1:13" x14ac:dyDescent="0.25">
      <c r="A505" s="40" t="s">
        <v>971</v>
      </c>
      <c r="B505" s="29" t="s">
        <v>1</v>
      </c>
      <c r="C505" s="30" t="s">
        <v>45</v>
      </c>
      <c r="D505" s="31">
        <v>4</v>
      </c>
      <c r="E505" s="32" t="s">
        <v>16</v>
      </c>
      <c r="F505" s="31">
        <v>1000000</v>
      </c>
      <c r="G505" s="31">
        <f>ROUNDDOWN($D505*$F505,-3)</f>
        <v>4000000</v>
      </c>
      <c r="H505" s="31">
        <v>0</v>
      </c>
      <c r="I505" s="31">
        <f>SUMIF(dd_kuitansi[MAK],$A505,dd_kuitansi[Jumlah])</f>
        <v>0</v>
      </c>
      <c r="J505" s="31">
        <f>$G505-SUM($H505:$I505)</f>
        <v>4000000</v>
      </c>
    </row>
    <row r="506" spans="1:13" x14ac:dyDescent="0.25">
      <c r="A506" s="40" t="s">
        <v>972</v>
      </c>
      <c r="B506" s="29" t="s">
        <v>1</v>
      </c>
      <c r="C506" s="30" t="s">
        <v>43</v>
      </c>
      <c r="D506" s="31">
        <v>4</v>
      </c>
      <c r="E506" s="32" t="s">
        <v>16</v>
      </c>
      <c r="F506" s="31">
        <v>1500000</v>
      </c>
      <c r="G506" s="31">
        <f>ROUNDDOWN($D506*$F506,-3)</f>
        <v>6000000</v>
      </c>
      <c r="H506" s="31">
        <v>0</v>
      </c>
      <c r="I506" s="31">
        <f>SUMIF(dd_kuitansi[MAK],$A506,dd_kuitansi[Jumlah])</f>
        <v>0</v>
      </c>
      <c r="J506" s="31">
        <f>$G506-SUM($H506:$I506)</f>
        <v>6000000</v>
      </c>
    </row>
    <row r="507" spans="1:13" s="9" customFormat="1" x14ac:dyDescent="0.25">
      <c r="A507" s="39" t="s">
        <v>973</v>
      </c>
      <c r="B507" s="29" t="s">
        <v>1</v>
      </c>
      <c r="C507" s="30" t="s">
        <v>100</v>
      </c>
      <c r="D507" s="31">
        <v>5</v>
      </c>
      <c r="E507" s="32" t="s">
        <v>177</v>
      </c>
      <c r="F507" s="31">
        <v>500000</v>
      </c>
      <c r="G507" s="31">
        <f>ROUNDDOWN($D507*$F507,-3)</f>
        <v>2500000</v>
      </c>
      <c r="H507" s="31">
        <v>0</v>
      </c>
      <c r="I507" s="31">
        <f>SUMIF(dd_kuitansi[MAK],$A507,dd_kuitansi[Jumlah])</f>
        <v>0</v>
      </c>
      <c r="J507" s="31">
        <f>$G507-SUM($H507:$I507)</f>
        <v>2500000</v>
      </c>
      <c r="M507" s="184"/>
    </row>
    <row r="508" spans="1:13" s="9" customFormat="1" x14ac:dyDescent="0.25">
      <c r="A508" s="39" t="s">
        <v>576</v>
      </c>
      <c r="B508" s="17" t="s">
        <v>46</v>
      </c>
      <c r="C508" s="18" t="s">
        <v>47</v>
      </c>
      <c r="D508" s="19">
        <v>0</v>
      </c>
      <c r="E508" s="20" t="s">
        <v>1</v>
      </c>
      <c r="F508" s="19">
        <v>0</v>
      </c>
      <c r="G508" s="19">
        <f>G509</f>
        <v>10000000</v>
      </c>
      <c r="H508" s="19">
        <f>H509</f>
        <v>0</v>
      </c>
      <c r="I508" s="19">
        <f>I509</f>
        <v>0</v>
      </c>
      <c r="J508" s="19">
        <f>J509</f>
        <v>10000000</v>
      </c>
      <c r="M508" s="184"/>
    </row>
    <row r="509" spans="1:13" x14ac:dyDescent="0.25">
      <c r="A509" s="40" t="s">
        <v>974</v>
      </c>
      <c r="B509" s="29" t="s">
        <v>1</v>
      </c>
      <c r="C509" s="30" t="s">
        <v>48</v>
      </c>
      <c r="D509" s="31">
        <v>10</v>
      </c>
      <c r="E509" s="32" t="s">
        <v>49</v>
      </c>
      <c r="F509" s="31">
        <v>1000000</v>
      </c>
      <c r="G509" s="31">
        <f>ROUNDDOWN($D509*$F509,-3)</f>
        <v>10000000</v>
      </c>
      <c r="H509" s="31">
        <v>0</v>
      </c>
      <c r="I509" s="31">
        <f>SUMIF(dd_kuitansi[MAK],$A509,dd_kuitansi[Jumlah])</f>
        <v>0</v>
      </c>
      <c r="J509" s="31">
        <f>$G509-SUM($H509:$I509)</f>
        <v>10000000</v>
      </c>
    </row>
    <row r="510" spans="1:13" x14ac:dyDescent="0.25">
      <c r="A510" s="40" t="s">
        <v>577</v>
      </c>
      <c r="B510" s="17" t="s">
        <v>50</v>
      </c>
      <c r="C510" s="18" t="s">
        <v>51</v>
      </c>
      <c r="D510" s="19">
        <v>0</v>
      </c>
      <c r="E510" s="20" t="s">
        <v>1</v>
      </c>
      <c r="F510" s="19">
        <v>0</v>
      </c>
      <c r="G510" s="19">
        <f>G511</f>
        <v>252600000</v>
      </c>
      <c r="H510" s="19">
        <f>H511</f>
        <v>0</v>
      </c>
      <c r="I510" s="19">
        <f>I511</f>
        <v>0</v>
      </c>
      <c r="J510" s="19">
        <f>J511</f>
        <v>252600000</v>
      </c>
    </row>
    <row r="511" spans="1:13" x14ac:dyDescent="0.25">
      <c r="A511" s="40" t="s">
        <v>975</v>
      </c>
      <c r="B511" s="29" t="s">
        <v>1</v>
      </c>
      <c r="C511" s="30" t="s">
        <v>183</v>
      </c>
      <c r="D511" s="31">
        <v>40</v>
      </c>
      <c r="E511" s="32" t="s">
        <v>36</v>
      </c>
      <c r="F511" s="31">
        <v>6315000</v>
      </c>
      <c r="G511" s="31">
        <f>ROUNDDOWN($D511*$F511,-3)</f>
        <v>252600000</v>
      </c>
      <c r="H511" s="31">
        <v>0</v>
      </c>
      <c r="I511" s="31">
        <f>SUMIF(dd_kuitansi[MAK],$A511,dd_kuitansi[Jumlah])</f>
        <v>0</v>
      </c>
      <c r="J511" s="31">
        <f>$G511-SUM($H511:$I511)</f>
        <v>252600000</v>
      </c>
    </row>
    <row r="512" spans="1:13" x14ac:dyDescent="0.25">
      <c r="A512" s="40" t="s">
        <v>578</v>
      </c>
      <c r="B512" s="17" t="s">
        <v>54</v>
      </c>
      <c r="C512" s="18" t="s">
        <v>55</v>
      </c>
      <c r="D512" s="19">
        <v>0</v>
      </c>
      <c r="E512" s="20" t="s">
        <v>1</v>
      </c>
      <c r="F512" s="19">
        <v>0</v>
      </c>
      <c r="G512" s="19">
        <f>SUM(G513:G516)</f>
        <v>84000000</v>
      </c>
      <c r="H512" s="19">
        <f>SUM(H513:H516)</f>
        <v>0</v>
      </c>
      <c r="I512" s="19">
        <f>SUM(I513:I516)</f>
        <v>0</v>
      </c>
      <c r="J512" s="19">
        <f>SUM(J513:J516)</f>
        <v>84000000</v>
      </c>
    </row>
    <row r="513" spans="1:13" x14ac:dyDescent="0.25">
      <c r="A513" s="40"/>
      <c r="B513" s="29" t="s">
        <v>1</v>
      </c>
      <c r="C513" s="33" t="s">
        <v>90</v>
      </c>
      <c r="D513" s="31">
        <v>0</v>
      </c>
      <c r="E513" s="32" t="s">
        <v>1</v>
      </c>
      <c r="F513" s="31">
        <v>0</v>
      </c>
      <c r="G513" s="31">
        <v>0</v>
      </c>
      <c r="H513" s="31">
        <v>0</v>
      </c>
      <c r="I513" s="31">
        <v>0</v>
      </c>
      <c r="J513" s="31">
        <v>0</v>
      </c>
    </row>
    <row r="514" spans="1:13" s="9" customFormat="1" x14ac:dyDescent="0.25">
      <c r="A514" s="39" t="s">
        <v>976</v>
      </c>
      <c r="B514" s="29" t="s">
        <v>1</v>
      </c>
      <c r="C514" s="30" t="s">
        <v>56</v>
      </c>
      <c r="D514" s="31">
        <v>55</v>
      </c>
      <c r="E514" s="32" t="s">
        <v>36</v>
      </c>
      <c r="F514" s="31">
        <v>300000</v>
      </c>
      <c r="G514" s="31">
        <f>ROUNDDOWN($D514*$F514,-3)</f>
        <v>16500000</v>
      </c>
      <c r="H514" s="31">
        <v>0</v>
      </c>
      <c r="I514" s="31">
        <f>SUMIF(dd_kuitansi[MAK],$A514,dd_kuitansi[Jumlah])</f>
        <v>0</v>
      </c>
      <c r="J514" s="31">
        <f>$G514-SUM($H514:$I514)</f>
        <v>16500000</v>
      </c>
      <c r="M514" s="184"/>
    </row>
    <row r="515" spans="1:13" x14ac:dyDescent="0.25">
      <c r="A515" s="40" t="s">
        <v>977</v>
      </c>
      <c r="B515" s="29" t="s">
        <v>1</v>
      </c>
      <c r="C515" s="30" t="s">
        <v>57</v>
      </c>
      <c r="D515" s="31">
        <v>250</v>
      </c>
      <c r="E515" s="32" t="s">
        <v>36</v>
      </c>
      <c r="F515" s="31">
        <v>250000</v>
      </c>
      <c r="G515" s="31">
        <f>ROUNDDOWN($D515*$F515,-3)</f>
        <v>62500000</v>
      </c>
      <c r="H515" s="31">
        <v>0</v>
      </c>
      <c r="I515" s="31">
        <f>SUMIF(dd_kuitansi[MAK],$A515,dd_kuitansi[Jumlah])</f>
        <v>0</v>
      </c>
      <c r="J515" s="31">
        <f>$G515-SUM($H515:$I515)</f>
        <v>62500000</v>
      </c>
    </row>
    <row r="516" spans="1:13" s="9" customFormat="1" x14ac:dyDescent="0.25">
      <c r="A516" s="39" t="s">
        <v>978</v>
      </c>
      <c r="B516" s="29" t="s">
        <v>1</v>
      </c>
      <c r="C516" s="30" t="s">
        <v>58</v>
      </c>
      <c r="D516" s="31">
        <v>25</v>
      </c>
      <c r="E516" s="32" t="s">
        <v>36</v>
      </c>
      <c r="F516" s="31">
        <v>200000</v>
      </c>
      <c r="G516" s="31">
        <f>ROUNDDOWN($D516*$F516,-3)</f>
        <v>5000000</v>
      </c>
      <c r="H516" s="31">
        <v>0</v>
      </c>
      <c r="I516" s="31">
        <f>SUMIF(dd_kuitansi[MAK],$A516,dd_kuitansi[Jumlah])</f>
        <v>0</v>
      </c>
      <c r="J516" s="31">
        <f>$G516-SUM($H516:$I516)</f>
        <v>5000000</v>
      </c>
      <c r="M516" s="184"/>
    </row>
    <row r="517" spans="1:13" x14ac:dyDescent="0.25">
      <c r="A517" s="40" t="s">
        <v>385</v>
      </c>
      <c r="B517" s="21" t="s">
        <v>120</v>
      </c>
      <c r="C517" s="22" t="s">
        <v>184</v>
      </c>
      <c r="D517" s="23">
        <v>0</v>
      </c>
      <c r="E517" s="24" t="s">
        <v>1</v>
      </c>
      <c r="F517" s="23">
        <v>0</v>
      </c>
      <c r="G517" s="23">
        <f>SUM(G518,G537,G552,G568,G586,G605)</f>
        <v>1000000000</v>
      </c>
      <c r="H517" s="23">
        <f>SUM(H518,H537,H552,H568,H586,H605)</f>
        <v>0</v>
      </c>
      <c r="I517" s="23">
        <f>SUM(I518,I537,I552,I568,I586,I605)</f>
        <v>0</v>
      </c>
      <c r="J517" s="23">
        <f>SUM(J518,J537,J552,J568,J586,J605)</f>
        <v>1000000000</v>
      </c>
    </row>
    <row r="518" spans="1:13" s="9" customFormat="1" x14ac:dyDescent="0.25">
      <c r="A518" s="39" t="s">
        <v>420</v>
      </c>
      <c r="B518" s="25" t="s">
        <v>11</v>
      </c>
      <c r="C518" s="26" t="s">
        <v>185</v>
      </c>
      <c r="D518" s="27">
        <v>0</v>
      </c>
      <c r="E518" s="28" t="s">
        <v>1</v>
      </c>
      <c r="F518" s="27">
        <v>0</v>
      </c>
      <c r="G518" s="27">
        <f>SUM(G519,G523,G526,G528,G530,G532)</f>
        <v>193936000</v>
      </c>
      <c r="H518" s="27">
        <f>SUM(H519,H523,H526,H528,H530,H532)</f>
        <v>0</v>
      </c>
      <c r="I518" s="27">
        <f>SUM(I519,I523,I526,I528,I530,I532)</f>
        <v>0</v>
      </c>
      <c r="J518" s="27">
        <f>SUM(J519,J523,J526,J528,J530,J532)</f>
        <v>193936000</v>
      </c>
      <c r="M518" s="184"/>
    </row>
    <row r="519" spans="1:13" x14ac:dyDescent="0.25">
      <c r="A519" s="40" t="s">
        <v>579</v>
      </c>
      <c r="B519" s="17" t="s">
        <v>33</v>
      </c>
      <c r="C519" s="18" t="s">
        <v>34</v>
      </c>
      <c r="D519" s="19">
        <v>0</v>
      </c>
      <c r="E519" s="20" t="s">
        <v>1</v>
      </c>
      <c r="F519" s="19">
        <v>0</v>
      </c>
      <c r="G519" s="31">
        <f>SUM(G520:G522)</f>
        <v>21936000</v>
      </c>
      <c r="H519" s="31">
        <f>SUM(H520:H522)</f>
        <v>0</v>
      </c>
      <c r="I519" s="31">
        <f>SUM(I520:I522)</f>
        <v>0</v>
      </c>
      <c r="J519" s="31">
        <f>SUM(J520:J522)</f>
        <v>21936000</v>
      </c>
    </row>
    <row r="520" spans="1:13" x14ac:dyDescent="0.25">
      <c r="A520" s="40" t="s">
        <v>979</v>
      </c>
      <c r="B520" s="29" t="s">
        <v>1</v>
      </c>
      <c r="C520" s="30" t="s">
        <v>35</v>
      </c>
      <c r="D520" s="31">
        <v>144</v>
      </c>
      <c r="E520" s="32" t="s">
        <v>36</v>
      </c>
      <c r="F520" s="31">
        <v>69000</v>
      </c>
      <c r="G520" s="31">
        <f>ROUNDDOWN($D520*$F520,-3)</f>
        <v>9936000</v>
      </c>
      <c r="H520" s="31">
        <v>0</v>
      </c>
      <c r="I520" s="31">
        <f>SUMIF(dd_kuitansi[MAK],$A520,dd_kuitansi[Jumlah])</f>
        <v>0</v>
      </c>
      <c r="J520" s="31">
        <f>$G520-SUM($H520:$I520)</f>
        <v>9936000</v>
      </c>
    </row>
    <row r="521" spans="1:13" x14ac:dyDescent="0.25">
      <c r="A521" s="40" t="s">
        <v>980</v>
      </c>
      <c r="B521" s="29" t="s">
        <v>1</v>
      </c>
      <c r="C521" s="30" t="s">
        <v>186</v>
      </c>
      <c r="D521" s="31">
        <v>4</v>
      </c>
      <c r="E521" s="32" t="s">
        <v>16</v>
      </c>
      <c r="F521" s="31">
        <v>1500000</v>
      </c>
      <c r="G521" s="31">
        <f>ROUNDDOWN($D521*$F521,-3)</f>
        <v>6000000</v>
      </c>
      <c r="H521" s="31">
        <v>0</v>
      </c>
      <c r="I521" s="31">
        <f>SUMIF(dd_kuitansi[MAK],$A521,dd_kuitansi[Jumlah])</f>
        <v>0</v>
      </c>
      <c r="J521" s="31">
        <f>$G521-SUM($H521:$I521)</f>
        <v>6000000</v>
      </c>
    </row>
    <row r="522" spans="1:13" x14ac:dyDescent="0.25">
      <c r="A522" s="40" t="s">
        <v>981</v>
      </c>
      <c r="B522" s="29" t="s">
        <v>1</v>
      </c>
      <c r="C522" s="30" t="s">
        <v>37</v>
      </c>
      <c r="D522" s="31">
        <v>6</v>
      </c>
      <c r="E522" s="32" t="s">
        <v>16</v>
      </c>
      <c r="F522" s="31">
        <v>1000000</v>
      </c>
      <c r="G522" s="31">
        <f>ROUNDDOWN($D522*$F522,-3)</f>
        <v>6000000</v>
      </c>
      <c r="H522" s="31">
        <v>0</v>
      </c>
      <c r="I522" s="31">
        <f>SUMIF(dd_kuitansi[MAK],$A522,dd_kuitansi[Jumlah])</f>
        <v>0</v>
      </c>
      <c r="J522" s="31">
        <f>$G522-SUM($H522:$I522)</f>
        <v>6000000</v>
      </c>
    </row>
    <row r="523" spans="1:13" s="9" customFormat="1" x14ac:dyDescent="0.25">
      <c r="A523" s="39" t="s">
        <v>580</v>
      </c>
      <c r="B523" s="17" t="s">
        <v>41</v>
      </c>
      <c r="C523" s="18" t="s">
        <v>42</v>
      </c>
      <c r="D523" s="19">
        <v>0</v>
      </c>
      <c r="E523" s="20" t="s">
        <v>1</v>
      </c>
      <c r="F523" s="19">
        <v>0</v>
      </c>
      <c r="G523" s="19">
        <f>SUM(G524:G525)</f>
        <v>15000000</v>
      </c>
      <c r="H523" s="19">
        <f>SUM(H524:H525)</f>
        <v>0</v>
      </c>
      <c r="I523" s="19">
        <f>SUM(I524:I525)</f>
        <v>0</v>
      </c>
      <c r="J523" s="19">
        <f>SUM(J524:J525)</f>
        <v>15000000</v>
      </c>
      <c r="M523" s="184"/>
    </row>
    <row r="524" spans="1:13" s="9" customFormat="1" x14ac:dyDescent="0.25">
      <c r="A524" s="39" t="s">
        <v>982</v>
      </c>
      <c r="B524" s="29" t="s">
        <v>1</v>
      </c>
      <c r="C524" s="30" t="s">
        <v>45</v>
      </c>
      <c r="D524" s="31">
        <v>6</v>
      </c>
      <c r="E524" s="32" t="s">
        <v>16</v>
      </c>
      <c r="F524" s="31">
        <v>1000000</v>
      </c>
      <c r="G524" s="31">
        <f>ROUNDDOWN($D524*$F524,-3)</f>
        <v>6000000</v>
      </c>
      <c r="H524" s="31">
        <v>0</v>
      </c>
      <c r="I524" s="31">
        <f>SUMIF(dd_kuitansi[MAK],$A524,dd_kuitansi[Jumlah])</f>
        <v>0</v>
      </c>
      <c r="J524" s="31">
        <f>$G524-SUM($H524:$I524)</f>
        <v>6000000</v>
      </c>
      <c r="M524" s="184"/>
    </row>
    <row r="525" spans="1:13" s="9" customFormat="1" x14ac:dyDescent="0.25">
      <c r="A525" s="39" t="s">
        <v>983</v>
      </c>
      <c r="B525" s="29" t="s">
        <v>1</v>
      </c>
      <c r="C525" s="30" t="s">
        <v>43</v>
      </c>
      <c r="D525" s="31">
        <v>6</v>
      </c>
      <c r="E525" s="32" t="s">
        <v>16</v>
      </c>
      <c r="F525" s="31">
        <v>1500000</v>
      </c>
      <c r="G525" s="31">
        <f>ROUNDDOWN($D525*$F525,-3)</f>
        <v>9000000</v>
      </c>
      <c r="H525" s="31">
        <v>0</v>
      </c>
      <c r="I525" s="31">
        <f>SUMIF(dd_kuitansi[MAK],$A525,dd_kuitansi[Jumlah])</f>
        <v>0</v>
      </c>
      <c r="J525" s="31">
        <f>$G525-SUM($H525:$I525)</f>
        <v>9000000</v>
      </c>
      <c r="M525" s="184"/>
    </row>
    <row r="526" spans="1:13" x14ac:dyDescent="0.25">
      <c r="A526" s="40" t="s">
        <v>581</v>
      </c>
      <c r="B526" s="17" t="s">
        <v>46</v>
      </c>
      <c r="C526" s="18" t="s">
        <v>47</v>
      </c>
      <c r="D526" s="19">
        <v>0</v>
      </c>
      <c r="E526" s="20" t="s">
        <v>1</v>
      </c>
      <c r="F526" s="19">
        <v>0</v>
      </c>
      <c r="G526" s="19">
        <f>G527</f>
        <v>3000000</v>
      </c>
      <c r="H526" s="19">
        <f>H527</f>
        <v>0</v>
      </c>
      <c r="I526" s="19">
        <f>I527</f>
        <v>0</v>
      </c>
      <c r="J526" s="19">
        <f>J527</f>
        <v>3000000</v>
      </c>
    </row>
    <row r="527" spans="1:13" x14ac:dyDescent="0.25">
      <c r="A527" s="40" t="s">
        <v>984</v>
      </c>
      <c r="B527" s="29" t="s">
        <v>1</v>
      </c>
      <c r="C527" s="30" t="s">
        <v>48</v>
      </c>
      <c r="D527" s="31">
        <v>3</v>
      </c>
      <c r="E527" s="32" t="s">
        <v>36</v>
      </c>
      <c r="F527" s="31">
        <v>1000000</v>
      </c>
      <c r="G527" s="31">
        <f>ROUNDDOWN($D527*$F527,-3)</f>
        <v>3000000</v>
      </c>
      <c r="H527" s="31">
        <v>0</v>
      </c>
      <c r="I527" s="31">
        <f>SUMIF(dd_kuitansi[MAK],$A527,dd_kuitansi[Jumlah])</f>
        <v>0</v>
      </c>
      <c r="J527" s="31">
        <f>$G527-SUM($H527:$I527)</f>
        <v>3000000</v>
      </c>
    </row>
    <row r="528" spans="1:13" x14ac:dyDescent="0.25">
      <c r="A528" s="40" t="s">
        <v>582</v>
      </c>
      <c r="B528" s="17" t="s">
        <v>50</v>
      </c>
      <c r="C528" s="18" t="s">
        <v>51</v>
      </c>
      <c r="D528" s="19">
        <v>0</v>
      </c>
      <c r="E528" s="20" t="s">
        <v>1</v>
      </c>
      <c r="F528" s="19">
        <v>0</v>
      </c>
      <c r="G528" s="19">
        <f>G529</f>
        <v>100000000</v>
      </c>
      <c r="H528" s="19">
        <f>H529</f>
        <v>0</v>
      </c>
      <c r="I528" s="19">
        <f>I529</f>
        <v>0</v>
      </c>
      <c r="J528" s="19">
        <f>J529</f>
        <v>100000000</v>
      </c>
    </row>
    <row r="529" spans="1:13" s="9" customFormat="1" x14ac:dyDescent="0.25">
      <c r="A529" s="39" t="s">
        <v>985</v>
      </c>
      <c r="B529" s="29" t="s">
        <v>1</v>
      </c>
      <c r="C529" s="30" t="s">
        <v>187</v>
      </c>
      <c r="D529" s="31">
        <v>25</v>
      </c>
      <c r="E529" s="32" t="s">
        <v>36</v>
      </c>
      <c r="F529" s="31">
        <v>4000000</v>
      </c>
      <c r="G529" s="31">
        <f>ROUNDDOWN($D529*$F529,-3)</f>
        <v>100000000</v>
      </c>
      <c r="H529" s="31">
        <v>0</v>
      </c>
      <c r="I529" s="31">
        <f>SUMIF(dd_kuitansi[MAK],$A529,dd_kuitansi[Jumlah])</f>
        <v>0</v>
      </c>
      <c r="J529" s="31">
        <f>$G529-SUM($H529:$I529)</f>
        <v>100000000</v>
      </c>
      <c r="M529" s="184"/>
    </row>
    <row r="530" spans="1:13" x14ac:dyDescent="0.25">
      <c r="A530" s="40" t="s">
        <v>583</v>
      </c>
      <c r="B530" s="17" t="s">
        <v>104</v>
      </c>
      <c r="C530" s="18" t="s">
        <v>105</v>
      </c>
      <c r="D530" s="19">
        <v>0</v>
      </c>
      <c r="E530" s="20" t="s">
        <v>1</v>
      </c>
      <c r="F530" s="19">
        <v>0</v>
      </c>
      <c r="G530" s="19">
        <f>G531</f>
        <v>3750000</v>
      </c>
      <c r="H530" s="19">
        <f>H531</f>
        <v>0</v>
      </c>
      <c r="I530" s="19">
        <f>I531</f>
        <v>0</v>
      </c>
      <c r="J530" s="19">
        <f>J531</f>
        <v>3750000</v>
      </c>
    </row>
    <row r="531" spans="1:13" ht="25.5" x14ac:dyDescent="0.25">
      <c r="A531" s="40" t="s">
        <v>986</v>
      </c>
      <c r="B531" s="29" t="s">
        <v>1</v>
      </c>
      <c r="C531" s="30" t="s">
        <v>188</v>
      </c>
      <c r="D531" s="31">
        <v>25</v>
      </c>
      <c r="E531" s="32" t="s">
        <v>36</v>
      </c>
      <c r="F531" s="31">
        <v>150000</v>
      </c>
      <c r="G531" s="31">
        <f>ROUNDDOWN($D531*$F531,-3)</f>
        <v>3750000</v>
      </c>
      <c r="H531" s="31">
        <v>0</v>
      </c>
      <c r="I531" s="31">
        <f>SUMIF(dd_kuitansi[MAK],$A531,dd_kuitansi[Jumlah])</f>
        <v>0</v>
      </c>
      <c r="J531" s="31">
        <f>$G531-SUM($H531:$I531)</f>
        <v>3750000</v>
      </c>
    </row>
    <row r="532" spans="1:13" s="9" customFormat="1" x14ac:dyDescent="0.25">
      <c r="A532" s="39" t="s">
        <v>584</v>
      </c>
      <c r="B532" s="17" t="s">
        <v>54</v>
      </c>
      <c r="C532" s="18" t="s">
        <v>55</v>
      </c>
      <c r="D532" s="19">
        <v>0</v>
      </c>
      <c r="E532" s="20" t="s">
        <v>1</v>
      </c>
      <c r="F532" s="19">
        <v>0</v>
      </c>
      <c r="G532" s="19">
        <f>G533</f>
        <v>50250000</v>
      </c>
      <c r="H532" s="19">
        <f>H533</f>
        <v>0</v>
      </c>
      <c r="I532" s="19">
        <f>I533</f>
        <v>0</v>
      </c>
      <c r="J532" s="19">
        <f>J533</f>
        <v>50250000</v>
      </c>
      <c r="M532" s="184"/>
    </row>
    <row r="533" spans="1:13" x14ac:dyDescent="0.25">
      <c r="A533" s="40"/>
      <c r="B533" s="29" t="s">
        <v>1</v>
      </c>
      <c r="C533" s="33" t="s">
        <v>90</v>
      </c>
      <c r="D533" s="31">
        <v>0</v>
      </c>
      <c r="E533" s="32" t="s">
        <v>1</v>
      </c>
      <c r="F533" s="31">
        <v>0</v>
      </c>
      <c r="G533" s="31">
        <f>SUM(G534:G536)</f>
        <v>50250000</v>
      </c>
      <c r="H533" s="31">
        <f>SUM(H534:H536)</f>
        <v>0</v>
      </c>
      <c r="I533" s="31">
        <f>SUM(I534:I536)</f>
        <v>0</v>
      </c>
      <c r="J533" s="31">
        <f>SUM(J534:J536)</f>
        <v>50250000</v>
      </c>
    </row>
    <row r="534" spans="1:13" s="9" customFormat="1" x14ac:dyDescent="0.25">
      <c r="A534" s="39" t="s">
        <v>987</v>
      </c>
      <c r="B534" s="29" t="s">
        <v>1</v>
      </c>
      <c r="C534" s="30" t="s">
        <v>56</v>
      </c>
      <c r="D534" s="31">
        <v>40</v>
      </c>
      <c r="E534" s="32" t="s">
        <v>36</v>
      </c>
      <c r="F534" s="31">
        <v>300000</v>
      </c>
      <c r="G534" s="31">
        <f>ROUNDDOWN($D534*$F534,-3)</f>
        <v>12000000</v>
      </c>
      <c r="H534" s="31">
        <v>0</v>
      </c>
      <c r="I534" s="31">
        <f>SUMIF(dd_kuitansi[MAK],$A534,dd_kuitansi[Jumlah])</f>
        <v>0</v>
      </c>
      <c r="J534" s="31">
        <f>$G534-SUM($H534:$I534)</f>
        <v>12000000</v>
      </c>
      <c r="M534" s="184"/>
    </row>
    <row r="535" spans="1:13" x14ac:dyDescent="0.25">
      <c r="A535" s="40" t="s">
        <v>988</v>
      </c>
      <c r="B535" s="29" t="s">
        <v>1</v>
      </c>
      <c r="C535" s="30" t="s">
        <v>57</v>
      </c>
      <c r="D535" s="31">
        <v>141</v>
      </c>
      <c r="E535" s="32" t="s">
        <v>36</v>
      </c>
      <c r="F535" s="31">
        <v>250000</v>
      </c>
      <c r="G535" s="31">
        <f>ROUNDDOWN($D535*$F535,-3)</f>
        <v>35250000</v>
      </c>
      <c r="H535" s="31">
        <v>0</v>
      </c>
      <c r="I535" s="31">
        <f>SUMIF(dd_kuitansi[MAK],$A535,dd_kuitansi[Jumlah])</f>
        <v>0</v>
      </c>
      <c r="J535" s="31">
        <f>$G535-SUM($H535:$I535)</f>
        <v>35250000</v>
      </c>
    </row>
    <row r="536" spans="1:13" s="9" customFormat="1" x14ac:dyDescent="0.25">
      <c r="A536" s="39" t="s">
        <v>989</v>
      </c>
      <c r="B536" s="29" t="s">
        <v>1</v>
      </c>
      <c r="C536" s="30" t="s">
        <v>58</v>
      </c>
      <c r="D536" s="31">
        <v>15</v>
      </c>
      <c r="E536" s="32" t="s">
        <v>36</v>
      </c>
      <c r="F536" s="31">
        <v>200000</v>
      </c>
      <c r="G536" s="31">
        <f>ROUNDDOWN($D536*$F536,-3)</f>
        <v>3000000</v>
      </c>
      <c r="H536" s="31">
        <v>0</v>
      </c>
      <c r="I536" s="31">
        <f>SUMIF(dd_kuitansi[MAK],$A536,dd_kuitansi[Jumlah])</f>
        <v>0</v>
      </c>
      <c r="J536" s="31">
        <f>$G536-SUM($H536:$I536)</f>
        <v>3000000</v>
      </c>
      <c r="M536" s="184"/>
    </row>
    <row r="537" spans="1:13" x14ac:dyDescent="0.25">
      <c r="A537" s="40" t="s">
        <v>421</v>
      </c>
      <c r="B537" s="25" t="s">
        <v>17</v>
      </c>
      <c r="C537" s="26" t="s">
        <v>189</v>
      </c>
      <c r="D537" s="27">
        <v>0</v>
      </c>
      <c r="E537" s="28" t="s">
        <v>1</v>
      </c>
      <c r="F537" s="27">
        <v>0</v>
      </c>
      <c r="G537" s="27">
        <f>SUM(G538,G543,G545,G547)</f>
        <v>76632000</v>
      </c>
      <c r="H537" s="27">
        <f>SUM(H538,H543,H545,H547)</f>
        <v>0</v>
      </c>
      <c r="I537" s="27">
        <f>SUM(I538,I543,I545,I547)</f>
        <v>0</v>
      </c>
      <c r="J537" s="27">
        <f>SUM(J538,J543,J545,J547)</f>
        <v>76632000</v>
      </c>
    </row>
    <row r="538" spans="1:13" s="9" customFormat="1" x14ac:dyDescent="0.25">
      <c r="A538" s="39" t="s">
        <v>585</v>
      </c>
      <c r="B538" s="17" t="s">
        <v>33</v>
      </c>
      <c r="C538" s="18" t="s">
        <v>34</v>
      </c>
      <c r="D538" s="19">
        <v>0</v>
      </c>
      <c r="E538" s="20" t="s">
        <v>1</v>
      </c>
      <c r="F538" s="19">
        <v>0</v>
      </c>
      <c r="G538" s="19">
        <f>SUM(G539:G542)</f>
        <v>14969000</v>
      </c>
      <c r="H538" s="19">
        <f>SUM(H539:H542)</f>
        <v>0</v>
      </c>
      <c r="I538" s="19">
        <f>SUM(I539:I542)</f>
        <v>0</v>
      </c>
      <c r="J538" s="19">
        <f>SUM(J539:J542)</f>
        <v>14969000</v>
      </c>
      <c r="M538" s="184"/>
    </row>
    <row r="539" spans="1:13" x14ac:dyDescent="0.25">
      <c r="A539" s="40" t="s">
        <v>990</v>
      </c>
      <c r="B539" s="29" t="s">
        <v>1</v>
      </c>
      <c r="C539" s="30" t="s">
        <v>35</v>
      </c>
      <c r="D539" s="31">
        <v>101</v>
      </c>
      <c r="E539" s="32" t="s">
        <v>36</v>
      </c>
      <c r="F539" s="31">
        <v>69000</v>
      </c>
      <c r="G539" s="31">
        <f>ROUNDDOWN($D539*$F539,-3)</f>
        <v>6969000</v>
      </c>
      <c r="H539" s="31">
        <v>0</v>
      </c>
      <c r="I539" s="31">
        <f>SUMIF(dd_kuitansi[MAK],$A539,dd_kuitansi[Jumlah])</f>
        <v>0</v>
      </c>
      <c r="J539" s="31">
        <f>$G539-SUM($H539:$I539)</f>
        <v>6969000</v>
      </c>
    </row>
    <row r="540" spans="1:13" x14ac:dyDescent="0.25">
      <c r="A540" s="40" t="s">
        <v>991</v>
      </c>
      <c r="B540" s="29" t="s">
        <v>1</v>
      </c>
      <c r="C540" s="30" t="s">
        <v>45</v>
      </c>
      <c r="D540" s="31">
        <v>2</v>
      </c>
      <c r="E540" s="32" t="s">
        <v>16</v>
      </c>
      <c r="F540" s="31">
        <v>1000000</v>
      </c>
      <c r="G540" s="31">
        <f>ROUNDDOWN($D540*$F540,-3)</f>
        <v>2000000</v>
      </c>
      <c r="H540" s="31">
        <v>0</v>
      </c>
      <c r="I540" s="31">
        <f>SUMIF(dd_kuitansi[MAK],$A540,dd_kuitansi[Jumlah])</f>
        <v>0</v>
      </c>
      <c r="J540" s="31">
        <f>$G540-SUM($H540:$I540)</f>
        <v>2000000</v>
      </c>
    </row>
    <row r="541" spans="1:13" x14ac:dyDescent="0.25">
      <c r="A541" s="40" t="s">
        <v>992</v>
      </c>
      <c r="B541" s="29" t="s">
        <v>1</v>
      </c>
      <c r="C541" s="30" t="s">
        <v>43</v>
      </c>
      <c r="D541" s="31">
        <v>2</v>
      </c>
      <c r="E541" s="32" t="s">
        <v>16</v>
      </c>
      <c r="F541" s="31">
        <v>1500000</v>
      </c>
      <c r="G541" s="31">
        <f>ROUNDDOWN($D541*$F541,-3)</f>
        <v>3000000</v>
      </c>
      <c r="H541" s="31">
        <v>0</v>
      </c>
      <c r="I541" s="31">
        <f>SUMIF(dd_kuitansi[MAK],$A541,dd_kuitansi[Jumlah])</f>
        <v>0</v>
      </c>
      <c r="J541" s="31">
        <f>$G541-SUM($H541:$I541)</f>
        <v>3000000</v>
      </c>
    </row>
    <row r="542" spans="1:13" x14ac:dyDescent="0.25">
      <c r="A542" s="40" t="s">
        <v>993</v>
      </c>
      <c r="B542" s="29" t="s">
        <v>1</v>
      </c>
      <c r="C542" s="30" t="s">
        <v>37</v>
      </c>
      <c r="D542" s="31">
        <v>2</v>
      </c>
      <c r="E542" s="32" t="s">
        <v>16</v>
      </c>
      <c r="F542" s="31">
        <v>1500000</v>
      </c>
      <c r="G542" s="31">
        <f>ROUNDDOWN($D542*$F542,-3)</f>
        <v>3000000</v>
      </c>
      <c r="H542" s="31">
        <v>0</v>
      </c>
      <c r="I542" s="31">
        <f>SUMIF(dd_kuitansi[MAK],$A542,dd_kuitansi[Jumlah])</f>
        <v>0</v>
      </c>
      <c r="J542" s="31">
        <f>$G542-SUM($H542:$I542)</f>
        <v>3000000</v>
      </c>
    </row>
    <row r="543" spans="1:13" s="9" customFormat="1" x14ac:dyDescent="0.25">
      <c r="A543" s="39" t="s">
        <v>586</v>
      </c>
      <c r="B543" s="17" t="s">
        <v>50</v>
      </c>
      <c r="C543" s="18" t="s">
        <v>51</v>
      </c>
      <c r="D543" s="19">
        <v>0</v>
      </c>
      <c r="E543" s="20" t="s">
        <v>1</v>
      </c>
      <c r="F543" s="19">
        <v>0</v>
      </c>
      <c r="G543" s="19">
        <f>G544</f>
        <v>19563000</v>
      </c>
      <c r="H543" s="19">
        <f>H544</f>
        <v>0</v>
      </c>
      <c r="I543" s="19">
        <f>I544</f>
        <v>0</v>
      </c>
      <c r="J543" s="19">
        <f>J544</f>
        <v>19563000</v>
      </c>
      <c r="M543" s="184"/>
    </row>
    <row r="544" spans="1:13" s="9" customFormat="1" ht="25.5" x14ac:dyDescent="0.25">
      <c r="A544" s="39" t="s">
        <v>994</v>
      </c>
      <c r="B544" s="29" t="s">
        <v>1</v>
      </c>
      <c r="C544" s="30" t="s">
        <v>190</v>
      </c>
      <c r="D544" s="31">
        <v>6</v>
      </c>
      <c r="E544" s="32" t="s">
        <v>36</v>
      </c>
      <c r="F544" s="31">
        <v>3260500</v>
      </c>
      <c r="G544" s="31">
        <f>ROUNDDOWN($D544*$F544,-3)</f>
        <v>19563000</v>
      </c>
      <c r="H544" s="31">
        <v>0</v>
      </c>
      <c r="I544" s="31">
        <f>SUMIF(dd_kuitansi[MAK],$A544,dd_kuitansi[Jumlah])</f>
        <v>0</v>
      </c>
      <c r="J544" s="31">
        <f>$G544-SUM($H544:$I544)</f>
        <v>19563000</v>
      </c>
      <c r="M544" s="184"/>
    </row>
    <row r="545" spans="1:13" x14ac:dyDescent="0.25">
      <c r="A545" s="40" t="s">
        <v>587</v>
      </c>
      <c r="B545" s="17" t="s">
        <v>104</v>
      </c>
      <c r="C545" s="18" t="s">
        <v>105</v>
      </c>
      <c r="D545" s="19">
        <v>0</v>
      </c>
      <c r="E545" s="20" t="s">
        <v>1</v>
      </c>
      <c r="F545" s="19">
        <v>0</v>
      </c>
      <c r="G545" s="19">
        <f>G546</f>
        <v>3600000</v>
      </c>
      <c r="H545" s="19">
        <f>H546</f>
        <v>0</v>
      </c>
      <c r="I545" s="19">
        <f>I546</f>
        <v>0</v>
      </c>
      <c r="J545" s="19">
        <f>J546</f>
        <v>3600000</v>
      </c>
    </row>
    <row r="546" spans="1:13" x14ac:dyDescent="0.25">
      <c r="A546" s="40" t="s">
        <v>995</v>
      </c>
      <c r="B546" s="29" t="s">
        <v>1</v>
      </c>
      <c r="C546" s="30" t="s">
        <v>191</v>
      </c>
      <c r="D546" s="31">
        <v>24</v>
      </c>
      <c r="E546" s="32" t="s">
        <v>36</v>
      </c>
      <c r="F546" s="31">
        <v>150000</v>
      </c>
      <c r="G546" s="31">
        <f>ROUNDDOWN($D546*$F546,-3)</f>
        <v>3600000</v>
      </c>
      <c r="H546" s="31">
        <v>0</v>
      </c>
      <c r="I546" s="31">
        <f>SUMIF(dd_kuitansi[MAK],$A546,dd_kuitansi[Jumlah])</f>
        <v>0</v>
      </c>
      <c r="J546" s="31">
        <f>$G546-SUM($H546:$I546)</f>
        <v>3600000</v>
      </c>
    </row>
    <row r="547" spans="1:13" x14ac:dyDescent="0.25">
      <c r="A547" s="40" t="s">
        <v>588</v>
      </c>
      <c r="B547" s="17" t="s">
        <v>54</v>
      </c>
      <c r="C547" s="18" t="s">
        <v>55</v>
      </c>
      <c r="D547" s="19">
        <v>0</v>
      </c>
      <c r="E547" s="20" t="s">
        <v>1</v>
      </c>
      <c r="F547" s="19">
        <v>0</v>
      </c>
      <c r="G547" s="19">
        <f>G548</f>
        <v>38500000</v>
      </c>
      <c r="H547" s="19">
        <f>H548</f>
        <v>0</v>
      </c>
      <c r="I547" s="19">
        <f>I548</f>
        <v>0</v>
      </c>
      <c r="J547" s="19">
        <f>J548</f>
        <v>38500000</v>
      </c>
    </row>
    <row r="548" spans="1:13" x14ac:dyDescent="0.25">
      <c r="A548" s="40"/>
      <c r="B548" s="29" t="s">
        <v>1</v>
      </c>
      <c r="C548" s="33" t="s">
        <v>90</v>
      </c>
      <c r="D548" s="31">
        <v>0</v>
      </c>
      <c r="E548" s="32" t="s">
        <v>1</v>
      </c>
      <c r="F548" s="31">
        <v>0</v>
      </c>
      <c r="G548" s="31">
        <f>SUM(G549:G551)</f>
        <v>38500000</v>
      </c>
      <c r="H548" s="31">
        <f>SUM(H549:H551)</f>
        <v>0</v>
      </c>
      <c r="I548" s="31">
        <f>SUM(I549:I551)</f>
        <v>0</v>
      </c>
      <c r="J548" s="31">
        <f>SUM(J549:J551)</f>
        <v>38500000</v>
      </c>
    </row>
    <row r="549" spans="1:13" s="9" customFormat="1" x14ac:dyDescent="0.25">
      <c r="A549" s="39" t="s">
        <v>996</v>
      </c>
      <c r="B549" s="29" t="s">
        <v>1</v>
      </c>
      <c r="C549" s="30" t="s">
        <v>56</v>
      </c>
      <c r="D549" s="31">
        <v>30</v>
      </c>
      <c r="E549" s="32" t="s">
        <v>36</v>
      </c>
      <c r="F549" s="31">
        <v>300000</v>
      </c>
      <c r="G549" s="31">
        <f>ROUNDDOWN($D549*$F549,-3)</f>
        <v>9000000</v>
      </c>
      <c r="H549" s="31">
        <v>0</v>
      </c>
      <c r="I549" s="31">
        <f>SUMIF(dd_kuitansi[MAK],$A549,dd_kuitansi[Jumlah])</f>
        <v>0</v>
      </c>
      <c r="J549" s="31">
        <f>$G549-SUM($H549:$I549)</f>
        <v>9000000</v>
      </c>
      <c r="M549" s="184"/>
    </row>
    <row r="550" spans="1:13" x14ac:dyDescent="0.25">
      <c r="A550" s="40" t="s">
        <v>997</v>
      </c>
      <c r="B550" s="29" t="s">
        <v>1</v>
      </c>
      <c r="C550" s="30" t="s">
        <v>57</v>
      </c>
      <c r="D550" s="31">
        <v>94</v>
      </c>
      <c r="E550" s="32" t="s">
        <v>36</v>
      </c>
      <c r="F550" s="31">
        <v>250000</v>
      </c>
      <c r="G550" s="31">
        <f>ROUNDDOWN($D550*$F550,-3)</f>
        <v>23500000</v>
      </c>
      <c r="H550" s="31">
        <v>0</v>
      </c>
      <c r="I550" s="31">
        <f>SUMIF(dd_kuitansi[MAK],$A550,dd_kuitansi[Jumlah])</f>
        <v>0</v>
      </c>
      <c r="J550" s="31">
        <f>$G550-SUM($H550:$I550)</f>
        <v>23500000</v>
      </c>
    </row>
    <row r="551" spans="1:13" s="9" customFormat="1" x14ac:dyDescent="0.25">
      <c r="A551" s="39" t="s">
        <v>998</v>
      </c>
      <c r="B551" s="29" t="s">
        <v>1</v>
      </c>
      <c r="C551" s="30" t="s">
        <v>58</v>
      </c>
      <c r="D551" s="31">
        <v>30</v>
      </c>
      <c r="E551" s="32" t="s">
        <v>36</v>
      </c>
      <c r="F551" s="31">
        <v>200000</v>
      </c>
      <c r="G551" s="31">
        <f>ROUNDDOWN($D551*$F551,-3)</f>
        <v>6000000</v>
      </c>
      <c r="H551" s="31">
        <v>0</v>
      </c>
      <c r="I551" s="31">
        <f>SUMIF(dd_kuitansi[MAK],$A551,dd_kuitansi[Jumlah])</f>
        <v>0</v>
      </c>
      <c r="J551" s="31">
        <f>$G551-SUM($H551:$I551)</f>
        <v>6000000</v>
      </c>
      <c r="M551" s="184"/>
    </row>
    <row r="552" spans="1:13" x14ac:dyDescent="0.25">
      <c r="A552" s="40" t="s">
        <v>422</v>
      </c>
      <c r="B552" s="25" t="s">
        <v>65</v>
      </c>
      <c r="C552" s="26" t="s">
        <v>192</v>
      </c>
      <c r="D552" s="27">
        <v>0</v>
      </c>
      <c r="E552" s="28" t="s">
        <v>1</v>
      </c>
      <c r="F552" s="27">
        <v>0</v>
      </c>
      <c r="G552" s="27">
        <f>SUM(G553,G556,G559,G561,G563)</f>
        <v>142936000</v>
      </c>
      <c r="H552" s="27">
        <f>SUM(H553,H556,H559,H561,H563)</f>
        <v>0</v>
      </c>
      <c r="I552" s="27">
        <f>SUM(I553,I556,I559,I561,I563)</f>
        <v>0</v>
      </c>
      <c r="J552" s="27">
        <f>SUM(J553,J556,J559,J561,J563)</f>
        <v>142936000</v>
      </c>
    </row>
    <row r="553" spans="1:13" s="9" customFormat="1" x14ac:dyDescent="0.25">
      <c r="A553" s="39" t="s">
        <v>589</v>
      </c>
      <c r="B553" s="17" t="s">
        <v>33</v>
      </c>
      <c r="C553" s="18" t="s">
        <v>34</v>
      </c>
      <c r="D553" s="19">
        <v>0</v>
      </c>
      <c r="E553" s="20" t="s">
        <v>1</v>
      </c>
      <c r="F553" s="19">
        <v>0</v>
      </c>
      <c r="G553" s="19">
        <f>SUM(G554:G555)</f>
        <v>13936000</v>
      </c>
      <c r="H553" s="19">
        <f>SUM(H554:H555)</f>
        <v>0</v>
      </c>
      <c r="I553" s="19">
        <f>SUM(I554:I555)</f>
        <v>0</v>
      </c>
      <c r="J553" s="19">
        <f>SUM(J554:J555)</f>
        <v>13936000</v>
      </c>
      <c r="M553" s="184"/>
    </row>
    <row r="554" spans="1:13" x14ac:dyDescent="0.25">
      <c r="A554" s="40" t="s">
        <v>999</v>
      </c>
      <c r="B554" s="29" t="s">
        <v>1</v>
      </c>
      <c r="C554" s="30" t="s">
        <v>35</v>
      </c>
      <c r="D554" s="31">
        <v>144</v>
      </c>
      <c r="E554" s="32" t="s">
        <v>36</v>
      </c>
      <c r="F554" s="31">
        <v>69000</v>
      </c>
      <c r="G554" s="31">
        <f>ROUNDDOWN($D554*$F554,-3)</f>
        <v>9936000</v>
      </c>
      <c r="H554" s="31">
        <v>0</v>
      </c>
      <c r="I554" s="31">
        <f>SUMIF(dd_kuitansi[MAK],$A554,dd_kuitansi[Jumlah])</f>
        <v>0</v>
      </c>
      <c r="J554" s="31">
        <f>$G554-SUM($H554:$I554)</f>
        <v>9936000</v>
      </c>
    </row>
    <row r="555" spans="1:13" x14ac:dyDescent="0.25">
      <c r="A555" s="40" t="s">
        <v>1000</v>
      </c>
      <c r="B555" s="29" t="s">
        <v>1</v>
      </c>
      <c r="C555" s="30" t="s">
        <v>37</v>
      </c>
      <c r="D555" s="31">
        <v>4</v>
      </c>
      <c r="E555" s="32" t="s">
        <v>16</v>
      </c>
      <c r="F555" s="31">
        <v>1000000</v>
      </c>
      <c r="G555" s="31">
        <f>ROUNDDOWN($D555*$F555,-3)</f>
        <v>4000000</v>
      </c>
      <c r="H555" s="31">
        <v>0</v>
      </c>
      <c r="I555" s="31">
        <f>SUMIF(dd_kuitansi[MAK],$A555,dd_kuitansi[Jumlah])</f>
        <v>0</v>
      </c>
      <c r="J555" s="31">
        <f>$G555-SUM($H555:$I555)</f>
        <v>4000000</v>
      </c>
    </row>
    <row r="556" spans="1:13" x14ac:dyDescent="0.25">
      <c r="A556" s="40" t="s">
        <v>590</v>
      </c>
      <c r="B556" s="17" t="s">
        <v>41</v>
      </c>
      <c r="C556" s="18" t="s">
        <v>42</v>
      </c>
      <c r="D556" s="19">
        <v>0</v>
      </c>
      <c r="E556" s="20" t="s">
        <v>1</v>
      </c>
      <c r="F556" s="19">
        <v>0</v>
      </c>
      <c r="G556" s="19">
        <f>SUM(G557:G558)</f>
        <v>10000000</v>
      </c>
      <c r="H556" s="19">
        <f>SUM(H557:H558)</f>
        <v>0</v>
      </c>
      <c r="I556" s="19">
        <f>SUM(I557:I558)</f>
        <v>0</v>
      </c>
      <c r="J556" s="19">
        <f>SUM(J557:J558)</f>
        <v>10000000</v>
      </c>
    </row>
    <row r="557" spans="1:13" x14ac:dyDescent="0.25">
      <c r="A557" s="40" t="s">
        <v>1001</v>
      </c>
      <c r="B557" s="29" t="s">
        <v>1</v>
      </c>
      <c r="C557" s="30" t="s">
        <v>45</v>
      </c>
      <c r="D557" s="31">
        <v>4</v>
      </c>
      <c r="E557" s="32" t="s">
        <v>16</v>
      </c>
      <c r="F557" s="31">
        <v>1000000</v>
      </c>
      <c r="G557" s="31">
        <f>ROUNDDOWN($D557*$F557,-3)</f>
        <v>4000000</v>
      </c>
      <c r="H557" s="31">
        <v>0</v>
      </c>
      <c r="I557" s="31">
        <f>SUMIF(dd_kuitansi[MAK],$A557,dd_kuitansi[Jumlah])</f>
        <v>0</v>
      </c>
      <c r="J557" s="31">
        <f>$G557-SUM($H557:$I557)</f>
        <v>4000000</v>
      </c>
    </row>
    <row r="558" spans="1:13" s="9" customFormat="1" x14ac:dyDescent="0.25">
      <c r="A558" s="39" t="s">
        <v>1002</v>
      </c>
      <c r="B558" s="29" t="s">
        <v>1</v>
      </c>
      <c r="C558" s="30" t="s">
        <v>43</v>
      </c>
      <c r="D558" s="31">
        <v>4</v>
      </c>
      <c r="E558" s="32" t="s">
        <v>16</v>
      </c>
      <c r="F558" s="31">
        <v>1500000</v>
      </c>
      <c r="G558" s="31">
        <f>ROUNDDOWN($D558*$F558,-3)</f>
        <v>6000000</v>
      </c>
      <c r="H558" s="31">
        <v>0</v>
      </c>
      <c r="I558" s="31">
        <f>SUMIF(dd_kuitansi[MAK],$A558,dd_kuitansi[Jumlah])</f>
        <v>0</v>
      </c>
      <c r="J558" s="31">
        <f>$G558-SUM($H558:$I558)</f>
        <v>6000000</v>
      </c>
      <c r="M558" s="184"/>
    </row>
    <row r="559" spans="1:13" s="9" customFormat="1" x14ac:dyDescent="0.25">
      <c r="A559" s="39" t="s">
        <v>591</v>
      </c>
      <c r="B559" s="17" t="s">
        <v>50</v>
      </c>
      <c r="C559" s="18" t="s">
        <v>51</v>
      </c>
      <c r="D559" s="19">
        <v>0</v>
      </c>
      <c r="E559" s="20" t="s">
        <v>1</v>
      </c>
      <c r="F559" s="19">
        <v>0</v>
      </c>
      <c r="G559" s="19">
        <f>G560</f>
        <v>65000000</v>
      </c>
      <c r="H559" s="19">
        <f>H560</f>
        <v>0</v>
      </c>
      <c r="I559" s="19">
        <f>I560</f>
        <v>0</v>
      </c>
      <c r="J559" s="19">
        <f>J560</f>
        <v>65000000</v>
      </c>
      <c r="M559" s="184"/>
    </row>
    <row r="560" spans="1:13" ht="25.5" x14ac:dyDescent="0.25">
      <c r="A560" s="40" t="s">
        <v>1003</v>
      </c>
      <c r="B560" s="29" t="s">
        <v>1</v>
      </c>
      <c r="C560" s="30" t="s">
        <v>193</v>
      </c>
      <c r="D560" s="31">
        <v>20</v>
      </c>
      <c r="E560" s="32" t="s">
        <v>36</v>
      </c>
      <c r="F560" s="31">
        <v>3250000</v>
      </c>
      <c r="G560" s="31">
        <f>ROUNDDOWN($D560*$F560,-3)</f>
        <v>65000000</v>
      </c>
      <c r="H560" s="31">
        <v>0</v>
      </c>
      <c r="I560" s="31">
        <f>SUMIF(dd_kuitansi[MAK],$A560,dd_kuitansi[Jumlah])</f>
        <v>0</v>
      </c>
      <c r="J560" s="31">
        <f>$G560-SUM($H560:$I560)</f>
        <v>65000000</v>
      </c>
    </row>
    <row r="561" spans="1:13" x14ac:dyDescent="0.25">
      <c r="A561" s="40" t="s">
        <v>592</v>
      </c>
      <c r="B561" s="17" t="s">
        <v>104</v>
      </c>
      <c r="C561" s="18" t="s">
        <v>105</v>
      </c>
      <c r="D561" s="19">
        <v>0</v>
      </c>
      <c r="E561" s="20" t="s">
        <v>1</v>
      </c>
      <c r="F561" s="19">
        <v>0</v>
      </c>
      <c r="G561" s="19">
        <f>G562</f>
        <v>3750000</v>
      </c>
      <c r="H561" s="19">
        <f>H562</f>
        <v>0</v>
      </c>
      <c r="I561" s="19">
        <f>I562</f>
        <v>0</v>
      </c>
      <c r="J561" s="19">
        <f>J562</f>
        <v>3750000</v>
      </c>
    </row>
    <row r="562" spans="1:13" s="9" customFormat="1" x14ac:dyDescent="0.25">
      <c r="A562" s="39" t="s">
        <v>1004</v>
      </c>
      <c r="B562" s="29" t="s">
        <v>1</v>
      </c>
      <c r="C562" s="30" t="s">
        <v>194</v>
      </c>
      <c r="D562" s="31">
        <v>25</v>
      </c>
      <c r="E562" s="32" t="s">
        <v>36</v>
      </c>
      <c r="F562" s="31">
        <v>150000</v>
      </c>
      <c r="G562" s="31">
        <f>ROUNDDOWN($D562*$F562,-3)</f>
        <v>3750000</v>
      </c>
      <c r="H562" s="31">
        <v>0</v>
      </c>
      <c r="I562" s="31">
        <f>SUMIF(dd_kuitansi[MAK],$A562,dd_kuitansi[Jumlah])</f>
        <v>0</v>
      </c>
      <c r="J562" s="31">
        <f>$G562-SUM($H562:$I562)</f>
        <v>3750000</v>
      </c>
      <c r="M562" s="184"/>
    </row>
    <row r="563" spans="1:13" x14ac:dyDescent="0.25">
      <c r="A563" s="40" t="s">
        <v>593</v>
      </c>
      <c r="B563" s="17" t="s">
        <v>54</v>
      </c>
      <c r="C563" s="18" t="s">
        <v>55</v>
      </c>
      <c r="D563" s="19">
        <v>0</v>
      </c>
      <c r="E563" s="20" t="s">
        <v>1</v>
      </c>
      <c r="F563" s="19">
        <v>0</v>
      </c>
      <c r="G563" s="19">
        <f>G564</f>
        <v>50250000</v>
      </c>
      <c r="H563" s="19">
        <f>H564</f>
        <v>0</v>
      </c>
      <c r="I563" s="19">
        <f>I564</f>
        <v>0</v>
      </c>
      <c r="J563" s="19">
        <f>J564</f>
        <v>50250000</v>
      </c>
    </row>
    <row r="564" spans="1:13" x14ac:dyDescent="0.25">
      <c r="A564" s="40"/>
      <c r="B564" s="29" t="s">
        <v>1</v>
      </c>
      <c r="C564" s="33" t="s">
        <v>90</v>
      </c>
      <c r="D564" s="31">
        <v>0</v>
      </c>
      <c r="E564" s="32" t="s">
        <v>1</v>
      </c>
      <c r="F564" s="31">
        <v>0</v>
      </c>
      <c r="G564" s="31">
        <f>SUM(G565:G567)</f>
        <v>50250000</v>
      </c>
      <c r="H564" s="31">
        <f>SUM(H565:H567)</f>
        <v>0</v>
      </c>
      <c r="I564" s="31">
        <f>SUM(I565:I567)</f>
        <v>0</v>
      </c>
      <c r="J564" s="31">
        <f>SUM(J565:J567)</f>
        <v>50250000</v>
      </c>
    </row>
    <row r="565" spans="1:13" s="9" customFormat="1" x14ac:dyDescent="0.25">
      <c r="A565" s="39" t="s">
        <v>1005</v>
      </c>
      <c r="B565" s="29" t="s">
        <v>1</v>
      </c>
      <c r="C565" s="30" t="s">
        <v>56</v>
      </c>
      <c r="D565" s="31">
        <v>40</v>
      </c>
      <c r="E565" s="32" t="s">
        <v>36</v>
      </c>
      <c r="F565" s="31">
        <v>300000</v>
      </c>
      <c r="G565" s="31">
        <f>ROUNDDOWN($D565*$F565,-3)</f>
        <v>12000000</v>
      </c>
      <c r="H565" s="31">
        <v>0</v>
      </c>
      <c r="I565" s="31">
        <f>SUMIF(dd_kuitansi[MAK],$A565,dd_kuitansi[Jumlah])</f>
        <v>0</v>
      </c>
      <c r="J565" s="31">
        <f>$G565-SUM($H565:$I565)</f>
        <v>12000000</v>
      </c>
      <c r="M565" s="184"/>
    </row>
    <row r="566" spans="1:13" x14ac:dyDescent="0.25">
      <c r="A566" s="40" t="s">
        <v>1006</v>
      </c>
      <c r="B566" s="29" t="s">
        <v>1</v>
      </c>
      <c r="C566" s="30" t="s">
        <v>57</v>
      </c>
      <c r="D566" s="31">
        <v>129</v>
      </c>
      <c r="E566" s="32" t="s">
        <v>36</v>
      </c>
      <c r="F566" s="31">
        <v>250000</v>
      </c>
      <c r="G566" s="31">
        <f>ROUNDDOWN($D566*$F566,-3)</f>
        <v>32250000</v>
      </c>
      <c r="H566" s="31">
        <v>0</v>
      </c>
      <c r="I566" s="31">
        <f>SUMIF(dd_kuitansi[MAK],$A566,dd_kuitansi[Jumlah])</f>
        <v>0</v>
      </c>
      <c r="J566" s="31">
        <f>$G566-SUM($H566:$I566)</f>
        <v>32250000</v>
      </c>
    </row>
    <row r="567" spans="1:13" s="9" customFormat="1" x14ac:dyDescent="0.25">
      <c r="A567" s="39" t="s">
        <v>1007</v>
      </c>
      <c r="B567" s="29" t="s">
        <v>1</v>
      </c>
      <c r="C567" s="30" t="s">
        <v>58</v>
      </c>
      <c r="D567" s="31">
        <v>30</v>
      </c>
      <c r="E567" s="32" t="s">
        <v>36</v>
      </c>
      <c r="F567" s="31">
        <v>200000</v>
      </c>
      <c r="G567" s="31">
        <f>ROUNDDOWN($D567*$F567,-3)</f>
        <v>6000000</v>
      </c>
      <c r="H567" s="31">
        <v>0</v>
      </c>
      <c r="I567" s="31">
        <f>SUMIF(dd_kuitansi[MAK],$A567,dd_kuitansi[Jumlah])</f>
        <v>0</v>
      </c>
      <c r="J567" s="31">
        <f>$G567-SUM($H567:$I567)</f>
        <v>6000000</v>
      </c>
      <c r="M567" s="184"/>
    </row>
    <row r="568" spans="1:13" ht="25.5" x14ac:dyDescent="0.25">
      <c r="A568" s="40" t="s">
        <v>423</v>
      </c>
      <c r="B568" s="25" t="s">
        <v>68</v>
      </c>
      <c r="C568" s="26" t="s">
        <v>195</v>
      </c>
      <c r="D568" s="27">
        <v>0</v>
      </c>
      <c r="E568" s="28" t="s">
        <v>1</v>
      </c>
      <c r="F568" s="27">
        <v>0</v>
      </c>
      <c r="G568" s="27">
        <f>SUM(G569,G572,G575,G577,G579,G581)</f>
        <v>104299000</v>
      </c>
      <c r="H568" s="27">
        <f>SUM(H569,H572,H575,H577,H579,H581)</f>
        <v>0</v>
      </c>
      <c r="I568" s="27">
        <f>SUM(I569,I572,I575,I577,I579,I581)</f>
        <v>0</v>
      </c>
      <c r="J568" s="27">
        <f>SUM(J569,J572,J575,J577,J579,J581)</f>
        <v>104299000</v>
      </c>
    </row>
    <row r="569" spans="1:13" s="9" customFormat="1" x14ac:dyDescent="0.25">
      <c r="A569" s="39" t="s">
        <v>594</v>
      </c>
      <c r="B569" s="17" t="s">
        <v>33</v>
      </c>
      <c r="C569" s="18" t="s">
        <v>34</v>
      </c>
      <c r="D569" s="19">
        <v>0</v>
      </c>
      <c r="E569" s="20" t="s">
        <v>1</v>
      </c>
      <c r="F569" s="19">
        <v>0</v>
      </c>
      <c r="G569" s="19">
        <f>SUM(G570:G571)</f>
        <v>14349000</v>
      </c>
      <c r="H569" s="19">
        <f>SUM(H570:H571)</f>
        <v>0</v>
      </c>
      <c r="I569" s="19">
        <f>SUM(I570:I571)</f>
        <v>0</v>
      </c>
      <c r="J569" s="19">
        <f>SUM(J570:J571)</f>
        <v>14349000</v>
      </c>
      <c r="M569" s="184"/>
    </row>
    <row r="570" spans="1:13" x14ac:dyDescent="0.25">
      <c r="A570" s="40" t="s">
        <v>1008</v>
      </c>
      <c r="B570" s="29" t="s">
        <v>1</v>
      </c>
      <c r="C570" s="30" t="s">
        <v>35</v>
      </c>
      <c r="D570" s="31">
        <v>121</v>
      </c>
      <c r="E570" s="32" t="s">
        <v>36</v>
      </c>
      <c r="F570" s="31">
        <v>69000</v>
      </c>
      <c r="G570" s="31">
        <f>ROUNDDOWN($D570*$F570,-3)</f>
        <v>8349000</v>
      </c>
      <c r="H570" s="31">
        <v>0</v>
      </c>
      <c r="I570" s="31">
        <f>SUMIF(dd_kuitansi[MAK],$A570,dd_kuitansi[Jumlah])</f>
        <v>0</v>
      </c>
      <c r="J570" s="31">
        <f>$G570-SUM($H570:$I570)</f>
        <v>8349000</v>
      </c>
    </row>
    <row r="571" spans="1:13" x14ac:dyDescent="0.25">
      <c r="A571" s="40" t="s">
        <v>1009</v>
      </c>
      <c r="B571" s="29" t="s">
        <v>1</v>
      </c>
      <c r="C571" s="30" t="s">
        <v>37</v>
      </c>
      <c r="D571" s="31">
        <v>6</v>
      </c>
      <c r="E571" s="32" t="s">
        <v>16</v>
      </c>
      <c r="F571" s="31">
        <v>1000000</v>
      </c>
      <c r="G571" s="31">
        <f>ROUNDDOWN($D571*$F571,-3)</f>
        <v>6000000</v>
      </c>
      <c r="H571" s="31">
        <v>0</v>
      </c>
      <c r="I571" s="31">
        <f>SUMIF(dd_kuitansi[MAK],$A571,dd_kuitansi[Jumlah])</f>
        <v>0</v>
      </c>
      <c r="J571" s="31">
        <f>$G571-SUM($H571:$I571)</f>
        <v>6000000</v>
      </c>
    </row>
    <row r="572" spans="1:13" x14ac:dyDescent="0.25">
      <c r="A572" s="40" t="s">
        <v>595</v>
      </c>
      <c r="B572" s="17" t="s">
        <v>41</v>
      </c>
      <c r="C572" s="18" t="s">
        <v>42</v>
      </c>
      <c r="D572" s="19">
        <v>0</v>
      </c>
      <c r="E572" s="20" t="s">
        <v>1</v>
      </c>
      <c r="F572" s="19">
        <v>0</v>
      </c>
      <c r="G572" s="19">
        <f>SUM(G573:G574)</f>
        <v>15000000</v>
      </c>
      <c r="H572" s="19">
        <f>SUM(H573:H574)</f>
        <v>0</v>
      </c>
      <c r="I572" s="19">
        <f>SUM(I573:I574)</f>
        <v>0</v>
      </c>
      <c r="J572" s="19">
        <f>SUM(J573:J574)</f>
        <v>15000000</v>
      </c>
    </row>
    <row r="573" spans="1:13" x14ac:dyDescent="0.25">
      <c r="A573" s="40" t="s">
        <v>1010</v>
      </c>
      <c r="B573" s="29" t="s">
        <v>1</v>
      </c>
      <c r="C573" s="30" t="s">
        <v>45</v>
      </c>
      <c r="D573" s="31">
        <v>6</v>
      </c>
      <c r="E573" s="32" t="s">
        <v>16</v>
      </c>
      <c r="F573" s="31">
        <v>1000000</v>
      </c>
      <c r="G573" s="31">
        <f>ROUNDDOWN($D573*$F573,-3)</f>
        <v>6000000</v>
      </c>
      <c r="H573" s="31">
        <v>0</v>
      </c>
      <c r="I573" s="31">
        <f>SUMIF(dd_kuitansi[MAK],$A573,dd_kuitansi[Jumlah])</f>
        <v>0</v>
      </c>
      <c r="J573" s="31">
        <f>$G573-SUM($H573:$I573)</f>
        <v>6000000</v>
      </c>
    </row>
    <row r="574" spans="1:13" s="9" customFormat="1" x14ac:dyDescent="0.25">
      <c r="A574" s="39" t="s">
        <v>1011</v>
      </c>
      <c r="B574" s="29" t="s">
        <v>1</v>
      </c>
      <c r="C574" s="30" t="s">
        <v>43</v>
      </c>
      <c r="D574" s="31">
        <v>6</v>
      </c>
      <c r="E574" s="32" t="s">
        <v>16</v>
      </c>
      <c r="F574" s="31">
        <v>1500000</v>
      </c>
      <c r="G574" s="31">
        <f>ROUNDDOWN($D574*$F574,-3)</f>
        <v>9000000</v>
      </c>
      <c r="H574" s="31">
        <v>0</v>
      </c>
      <c r="I574" s="31">
        <f>SUMIF(dd_kuitansi[MAK],$A574,dd_kuitansi[Jumlah])</f>
        <v>0</v>
      </c>
      <c r="J574" s="31">
        <f>$G574-SUM($H574:$I574)</f>
        <v>9000000</v>
      </c>
      <c r="M574" s="184"/>
    </row>
    <row r="575" spans="1:13" s="9" customFormat="1" x14ac:dyDescent="0.25">
      <c r="A575" s="39" t="s">
        <v>596</v>
      </c>
      <c r="B575" s="17" t="s">
        <v>46</v>
      </c>
      <c r="C575" s="18" t="s">
        <v>47</v>
      </c>
      <c r="D575" s="19">
        <v>0</v>
      </c>
      <c r="E575" s="20" t="s">
        <v>1</v>
      </c>
      <c r="F575" s="19">
        <v>0</v>
      </c>
      <c r="G575" s="19">
        <f>G576</f>
        <v>3000000</v>
      </c>
      <c r="H575" s="19">
        <f>H576</f>
        <v>0</v>
      </c>
      <c r="I575" s="19">
        <f>I576</f>
        <v>0</v>
      </c>
      <c r="J575" s="19">
        <f>J576</f>
        <v>3000000</v>
      </c>
      <c r="M575" s="184"/>
    </row>
    <row r="576" spans="1:13" x14ac:dyDescent="0.25">
      <c r="A576" s="40" t="s">
        <v>1012</v>
      </c>
      <c r="B576" s="29" t="s">
        <v>1</v>
      </c>
      <c r="C576" s="30" t="s">
        <v>48</v>
      </c>
      <c r="D576" s="31">
        <v>3</v>
      </c>
      <c r="E576" s="32" t="s">
        <v>49</v>
      </c>
      <c r="F576" s="31">
        <v>1000000</v>
      </c>
      <c r="G576" s="31">
        <f>ROUNDDOWN($D576*$F576,-3)</f>
        <v>3000000</v>
      </c>
      <c r="H576" s="31">
        <v>0</v>
      </c>
      <c r="I576" s="31">
        <f>SUMIF(dd_kuitansi[MAK],$A576,dd_kuitansi[Jumlah])</f>
        <v>0</v>
      </c>
      <c r="J576" s="31">
        <f>$G576-SUM($H576:$I576)</f>
        <v>3000000</v>
      </c>
    </row>
    <row r="577" spans="1:13" x14ac:dyDescent="0.25">
      <c r="A577" s="40" t="s">
        <v>597</v>
      </c>
      <c r="B577" s="17" t="s">
        <v>50</v>
      </c>
      <c r="C577" s="18" t="s">
        <v>51</v>
      </c>
      <c r="D577" s="19">
        <v>0</v>
      </c>
      <c r="E577" s="20" t="s">
        <v>1</v>
      </c>
      <c r="F577" s="19">
        <v>0</v>
      </c>
      <c r="G577" s="19">
        <f>G578</f>
        <v>26100000</v>
      </c>
      <c r="H577" s="19">
        <f>H578</f>
        <v>0</v>
      </c>
      <c r="I577" s="19">
        <f>I578</f>
        <v>0</v>
      </c>
      <c r="J577" s="19">
        <f>J578</f>
        <v>26100000</v>
      </c>
    </row>
    <row r="578" spans="1:13" s="9" customFormat="1" x14ac:dyDescent="0.25">
      <c r="A578" s="39" t="s">
        <v>1013</v>
      </c>
      <c r="B578" s="29" t="s">
        <v>1</v>
      </c>
      <c r="C578" s="30" t="s">
        <v>196</v>
      </c>
      <c r="D578" s="31">
        <v>8</v>
      </c>
      <c r="E578" s="32" t="s">
        <v>36</v>
      </c>
      <c r="F578" s="31">
        <v>3262500</v>
      </c>
      <c r="G578" s="31">
        <f>ROUNDDOWN($D578*$F578,-3)</f>
        <v>26100000</v>
      </c>
      <c r="H578" s="31">
        <v>0</v>
      </c>
      <c r="I578" s="31">
        <f>SUMIF(dd_kuitansi[MAK],$A578,dd_kuitansi[Jumlah])</f>
        <v>0</v>
      </c>
      <c r="J578" s="31">
        <f>$G578-SUM($H578:$I578)</f>
        <v>26100000</v>
      </c>
      <c r="M578" s="184"/>
    </row>
    <row r="579" spans="1:13" x14ac:dyDescent="0.25">
      <c r="A579" s="40" t="s">
        <v>598</v>
      </c>
      <c r="B579" s="17" t="s">
        <v>104</v>
      </c>
      <c r="C579" s="18" t="s">
        <v>105</v>
      </c>
      <c r="D579" s="19">
        <v>0</v>
      </c>
      <c r="E579" s="20" t="s">
        <v>1</v>
      </c>
      <c r="F579" s="19">
        <v>0</v>
      </c>
      <c r="G579" s="19">
        <f>G580</f>
        <v>3600000</v>
      </c>
      <c r="H579" s="19">
        <f>H580</f>
        <v>0</v>
      </c>
      <c r="I579" s="19">
        <f>I580</f>
        <v>0</v>
      </c>
      <c r="J579" s="19">
        <f>J580</f>
        <v>3600000</v>
      </c>
    </row>
    <row r="580" spans="1:13" x14ac:dyDescent="0.25">
      <c r="A580" s="40" t="s">
        <v>1014</v>
      </c>
      <c r="B580" s="29" t="s">
        <v>1</v>
      </c>
      <c r="C580" s="30" t="s">
        <v>197</v>
      </c>
      <c r="D580" s="31">
        <v>24</v>
      </c>
      <c r="E580" s="32" t="s">
        <v>36</v>
      </c>
      <c r="F580" s="31">
        <v>150000</v>
      </c>
      <c r="G580" s="31">
        <f>ROUNDDOWN($D580*$F580,-3)</f>
        <v>3600000</v>
      </c>
      <c r="H580" s="31">
        <v>0</v>
      </c>
      <c r="I580" s="31">
        <f>SUMIF(dd_kuitansi[MAK],$A580,dd_kuitansi[Jumlah])</f>
        <v>0</v>
      </c>
      <c r="J580" s="31">
        <f>$G580-SUM($H580:$I580)</f>
        <v>3600000</v>
      </c>
    </row>
    <row r="581" spans="1:13" s="9" customFormat="1" x14ac:dyDescent="0.25">
      <c r="A581" s="39" t="s">
        <v>599</v>
      </c>
      <c r="B581" s="17" t="s">
        <v>54</v>
      </c>
      <c r="C581" s="18" t="s">
        <v>55</v>
      </c>
      <c r="D581" s="19">
        <v>0</v>
      </c>
      <c r="E581" s="20" t="s">
        <v>1</v>
      </c>
      <c r="F581" s="19">
        <v>0</v>
      </c>
      <c r="G581" s="19">
        <f>G582</f>
        <v>42250000</v>
      </c>
      <c r="H581" s="19">
        <f>H582</f>
        <v>0</v>
      </c>
      <c r="I581" s="19">
        <f>I582</f>
        <v>0</v>
      </c>
      <c r="J581" s="19">
        <f>J582</f>
        <v>42250000</v>
      </c>
      <c r="M581" s="184"/>
    </row>
    <row r="582" spans="1:13" x14ac:dyDescent="0.25">
      <c r="A582" s="40"/>
      <c r="B582" s="29" t="s">
        <v>1</v>
      </c>
      <c r="C582" s="33" t="s">
        <v>90</v>
      </c>
      <c r="D582" s="31">
        <v>0</v>
      </c>
      <c r="E582" s="32" t="s">
        <v>1</v>
      </c>
      <c r="F582" s="31">
        <v>0</v>
      </c>
      <c r="G582" s="31">
        <f>SUM(G583:G585)</f>
        <v>42250000</v>
      </c>
      <c r="H582" s="31">
        <f>SUM(H583:H585)</f>
        <v>0</v>
      </c>
      <c r="I582" s="31">
        <f>SUM(I583:I585)</f>
        <v>0</v>
      </c>
      <c r="J582" s="31">
        <f>SUM(J583:J585)</f>
        <v>42250000</v>
      </c>
    </row>
    <row r="583" spans="1:13" s="9" customFormat="1" x14ac:dyDescent="0.25">
      <c r="A583" s="39" t="s">
        <v>1015</v>
      </c>
      <c r="B583" s="29" t="s">
        <v>1</v>
      </c>
      <c r="C583" s="30" t="s">
        <v>56</v>
      </c>
      <c r="D583" s="31">
        <v>30</v>
      </c>
      <c r="E583" s="32" t="s">
        <v>36</v>
      </c>
      <c r="F583" s="31">
        <v>300000</v>
      </c>
      <c r="G583" s="31">
        <f>ROUNDDOWN($D583*$F583,-3)</f>
        <v>9000000</v>
      </c>
      <c r="H583" s="31">
        <v>0</v>
      </c>
      <c r="I583" s="31">
        <f>SUMIF(dd_kuitansi[MAK],$A583,dd_kuitansi[Jumlah])</f>
        <v>0</v>
      </c>
      <c r="J583" s="31">
        <f>$G583-SUM($H583:$I583)</f>
        <v>9000000</v>
      </c>
      <c r="M583" s="184"/>
    </row>
    <row r="584" spans="1:13" x14ac:dyDescent="0.25">
      <c r="A584" s="40" t="s">
        <v>1016</v>
      </c>
      <c r="B584" s="29" t="s">
        <v>1</v>
      </c>
      <c r="C584" s="30" t="s">
        <v>57</v>
      </c>
      <c r="D584" s="31">
        <v>109</v>
      </c>
      <c r="E584" s="32" t="s">
        <v>36</v>
      </c>
      <c r="F584" s="31">
        <v>250000</v>
      </c>
      <c r="G584" s="31">
        <f>ROUNDDOWN($D584*$F584,-3)</f>
        <v>27250000</v>
      </c>
      <c r="H584" s="31">
        <v>0</v>
      </c>
      <c r="I584" s="31">
        <f>SUMIF(dd_kuitansi[MAK],$A584,dd_kuitansi[Jumlah])</f>
        <v>0</v>
      </c>
      <c r="J584" s="31">
        <f>$G584-SUM($H584:$I584)</f>
        <v>27250000</v>
      </c>
    </row>
    <row r="585" spans="1:13" s="9" customFormat="1" x14ac:dyDescent="0.25">
      <c r="A585" s="39" t="s">
        <v>1017</v>
      </c>
      <c r="B585" s="29" t="s">
        <v>1</v>
      </c>
      <c r="C585" s="30" t="s">
        <v>58</v>
      </c>
      <c r="D585" s="31">
        <v>30</v>
      </c>
      <c r="E585" s="32" t="s">
        <v>36</v>
      </c>
      <c r="F585" s="31">
        <v>200000</v>
      </c>
      <c r="G585" s="31">
        <f>ROUNDDOWN($D585*$F585,-3)</f>
        <v>6000000</v>
      </c>
      <c r="H585" s="31">
        <v>0</v>
      </c>
      <c r="I585" s="31">
        <f>SUMIF(dd_kuitansi[MAK],$A585,dd_kuitansi[Jumlah])</f>
        <v>0</v>
      </c>
      <c r="J585" s="31">
        <f>$G585-SUM($H585:$I585)</f>
        <v>6000000</v>
      </c>
      <c r="M585" s="184"/>
    </row>
    <row r="586" spans="1:13" x14ac:dyDescent="0.25">
      <c r="A586" s="40" t="s">
        <v>424</v>
      </c>
      <c r="B586" s="25" t="s">
        <v>98</v>
      </c>
      <c r="C586" s="26" t="s">
        <v>198</v>
      </c>
      <c r="D586" s="27">
        <v>0</v>
      </c>
      <c r="E586" s="28" t="s">
        <v>1</v>
      </c>
      <c r="F586" s="27">
        <v>0</v>
      </c>
      <c r="G586" s="27">
        <f>SUM(G587,G591,G594,G596,G598,G600)</f>
        <v>135172000</v>
      </c>
      <c r="H586" s="27">
        <f>SUM(H587,H591,H594,H596,H598,H600)</f>
        <v>0</v>
      </c>
      <c r="I586" s="27">
        <f>SUM(I587,I591,I594,I596,I598,I600)</f>
        <v>0</v>
      </c>
      <c r="J586" s="27">
        <f>SUM(J587,J591,J594,J596,J598,J600)</f>
        <v>135172000</v>
      </c>
    </row>
    <row r="587" spans="1:13" s="9" customFormat="1" x14ac:dyDescent="0.25">
      <c r="A587" s="39" t="s">
        <v>600</v>
      </c>
      <c r="B587" s="17" t="s">
        <v>33</v>
      </c>
      <c r="C587" s="18" t="s">
        <v>34</v>
      </c>
      <c r="D587" s="19">
        <v>0</v>
      </c>
      <c r="E587" s="20" t="s">
        <v>1</v>
      </c>
      <c r="F587" s="19">
        <v>0</v>
      </c>
      <c r="G587" s="31">
        <f>SUM(G588:G590)</f>
        <v>34872000</v>
      </c>
      <c r="H587" s="31">
        <f>SUM(H588:H590)</f>
        <v>0</v>
      </c>
      <c r="I587" s="31">
        <f>SUM(I588:I590)</f>
        <v>0</v>
      </c>
      <c r="J587" s="31">
        <f>SUM(J588:J590)</f>
        <v>34872000</v>
      </c>
      <c r="M587" s="184"/>
    </row>
    <row r="588" spans="1:13" x14ac:dyDescent="0.25">
      <c r="A588" s="40" t="s">
        <v>1018</v>
      </c>
      <c r="B588" s="29" t="s">
        <v>1</v>
      </c>
      <c r="C588" s="30" t="s">
        <v>35</v>
      </c>
      <c r="D588" s="31">
        <v>288</v>
      </c>
      <c r="E588" s="32" t="s">
        <v>36</v>
      </c>
      <c r="F588" s="31">
        <v>69000</v>
      </c>
      <c r="G588" s="31">
        <f>ROUNDDOWN($D588*$F588,-3)</f>
        <v>19872000</v>
      </c>
      <c r="H588" s="31">
        <v>0</v>
      </c>
      <c r="I588" s="31">
        <f>SUMIF(dd_kuitansi[MAK],$A588,dd_kuitansi[Jumlah])</f>
        <v>0</v>
      </c>
      <c r="J588" s="31">
        <f>$G588-SUM($H588:$I588)</f>
        <v>19872000</v>
      </c>
    </row>
    <row r="589" spans="1:13" x14ac:dyDescent="0.25">
      <c r="A589" s="40" t="s">
        <v>1019</v>
      </c>
      <c r="B589" s="29" t="s">
        <v>1</v>
      </c>
      <c r="C589" s="30" t="s">
        <v>37</v>
      </c>
      <c r="D589" s="31">
        <v>6</v>
      </c>
      <c r="E589" s="32" t="s">
        <v>16</v>
      </c>
      <c r="F589" s="31">
        <v>1500000</v>
      </c>
      <c r="G589" s="31">
        <f>ROUNDDOWN($D589*$F589,-3)</f>
        <v>9000000</v>
      </c>
      <c r="H589" s="31">
        <v>0</v>
      </c>
      <c r="I589" s="31">
        <f>SUMIF(dd_kuitansi[MAK],$A589,dd_kuitansi[Jumlah])</f>
        <v>0</v>
      </c>
      <c r="J589" s="31">
        <f>$G589-SUM($H589:$I589)</f>
        <v>9000000</v>
      </c>
    </row>
    <row r="590" spans="1:13" x14ac:dyDescent="0.25">
      <c r="A590" s="40" t="s">
        <v>1020</v>
      </c>
      <c r="B590" s="29" t="s">
        <v>1</v>
      </c>
      <c r="C590" s="30" t="s">
        <v>149</v>
      </c>
      <c r="D590" s="31">
        <v>4</v>
      </c>
      <c r="E590" s="32" t="s">
        <v>16</v>
      </c>
      <c r="F590" s="31">
        <v>1500000</v>
      </c>
      <c r="G590" s="31">
        <f>ROUNDDOWN($D590*$F590,-3)</f>
        <v>6000000</v>
      </c>
      <c r="H590" s="31">
        <v>0</v>
      </c>
      <c r="I590" s="31">
        <f>SUMIF(dd_kuitansi[MAK],$A590,dd_kuitansi[Jumlah])</f>
        <v>0</v>
      </c>
      <c r="J590" s="31">
        <f>$G590-SUM($H590:$I590)</f>
        <v>6000000</v>
      </c>
    </row>
    <row r="591" spans="1:13" x14ac:dyDescent="0.25">
      <c r="A591" s="40" t="s">
        <v>601</v>
      </c>
      <c r="B591" s="17" t="s">
        <v>41</v>
      </c>
      <c r="C591" s="18" t="s">
        <v>42</v>
      </c>
      <c r="D591" s="19">
        <v>0</v>
      </c>
      <c r="E591" s="20" t="s">
        <v>1</v>
      </c>
      <c r="F591" s="19">
        <v>0</v>
      </c>
      <c r="G591" s="19">
        <f>SUM(G592:G593)</f>
        <v>15000000</v>
      </c>
      <c r="H591" s="19">
        <f>SUM(H592:H593)</f>
        <v>0</v>
      </c>
      <c r="I591" s="19">
        <f>SUM(I592:I593)</f>
        <v>0</v>
      </c>
      <c r="J591" s="19">
        <f>SUM(J592:J593)</f>
        <v>15000000</v>
      </c>
    </row>
    <row r="592" spans="1:13" s="9" customFormat="1" x14ac:dyDescent="0.25">
      <c r="A592" s="39" t="s">
        <v>1021</v>
      </c>
      <c r="B592" s="29" t="s">
        <v>1</v>
      </c>
      <c r="C592" s="30" t="s">
        <v>45</v>
      </c>
      <c r="D592" s="31">
        <v>6</v>
      </c>
      <c r="E592" s="32" t="s">
        <v>16</v>
      </c>
      <c r="F592" s="31">
        <v>1000000</v>
      </c>
      <c r="G592" s="31">
        <f>ROUNDDOWN($D592*$F592,-3)</f>
        <v>6000000</v>
      </c>
      <c r="H592" s="31">
        <v>0</v>
      </c>
      <c r="I592" s="31">
        <f>SUMIF(dd_kuitansi[MAK],$A592,dd_kuitansi[Jumlah])</f>
        <v>0</v>
      </c>
      <c r="J592" s="31">
        <f>$G592-SUM($H592:$I592)</f>
        <v>6000000</v>
      </c>
      <c r="M592" s="184"/>
    </row>
    <row r="593" spans="1:13" s="9" customFormat="1" x14ac:dyDescent="0.25">
      <c r="A593" s="39" t="s">
        <v>1022</v>
      </c>
      <c r="B593" s="29" t="s">
        <v>1</v>
      </c>
      <c r="C593" s="30" t="s">
        <v>43</v>
      </c>
      <c r="D593" s="31">
        <v>6</v>
      </c>
      <c r="E593" s="32" t="s">
        <v>16</v>
      </c>
      <c r="F593" s="31">
        <v>1500000</v>
      </c>
      <c r="G593" s="31">
        <f>ROUNDDOWN($D593*$F593,-3)</f>
        <v>9000000</v>
      </c>
      <c r="H593" s="31">
        <v>0</v>
      </c>
      <c r="I593" s="31">
        <f>SUMIF(dd_kuitansi[MAK],$A593,dd_kuitansi[Jumlah])</f>
        <v>0</v>
      </c>
      <c r="J593" s="31">
        <f>$G593-SUM($H593:$I593)</f>
        <v>9000000</v>
      </c>
      <c r="M593" s="184"/>
    </row>
    <row r="594" spans="1:13" x14ac:dyDescent="0.25">
      <c r="A594" s="40" t="s">
        <v>602</v>
      </c>
      <c r="B594" s="17" t="s">
        <v>46</v>
      </c>
      <c r="C594" s="18" t="s">
        <v>47</v>
      </c>
      <c r="D594" s="19">
        <v>0</v>
      </c>
      <c r="E594" s="20" t="s">
        <v>1</v>
      </c>
      <c r="F594" s="19">
        <v>0</v>
      </c>
      <c r="G594" s="19">
        <f>G595</f>
        <v>3000000</v>
      </c>
      <c r="H594" s="19">
        <f>H595</f>
        <v>0</v>
      </c>
      <c r="I594" s="19">
        <f>I595</f>
        <v>0</v>
      </c>
      <c r="J594" s="19">
        <f>J595</f>
        <v>3000000</v>
      </c>
    </row>
    <row r="595" spans="1:13" x14ac:dyDescent="0.25">
      <c r="A595" s="40" t="s">
        <v>1023</v>
      </c>
      <c r="B595" s="29" t="s">
        <v>1</v>
      </c>
      <c r="C595" s="30" t="s">
        <v>48</v>
      </c>
      <c r="D595" s="31">
        <v>3</v>
      </c>
      <c r="E595" s="32" t="s">
        <v>49</v>
      </c>
      <c r="F595" s="31">
        <v>1000000</v>
      </c>
      <c r="G595" s="31">
        <f>ROUNDDOWN($D595*$F595,-3)</f>
        <v>3000000</v>
      </c>
      <c r="H595" s="31">
        <v>0</v>
      </c>
      <c r="I595" s="31">
        <f>SUMIF(dd_kuitansi[MAK],$A595,dd_kuitansi[Jumlah])</f>
        <v>0</v>
      </c>
      <c r="J595" s="31">
        <f>$G595-SUM($H595:$I595)</f>
        <v>3000000</v>
      </c>
    </row>
    <row r="596" spans="1:13" x14ac:dyDescent="0.25">
      <c r="A596" s="40" t="s">
        <v>603</v>
      </c>
      <c r="B596" s="17" t="s">
        <v>50</v>
      </c>
      <c r="C596" s="18" t="s">
        <v>51</v>
      </c>
      <c r="D596" s="19">
        <v>0</v>
      </c>
      <c r="E596" s="20" t="s">
        <v>1</v>
      </c>
      <c r="F596" s="19">
        <v>0</v>
      </c>
      <c r="G596" s="19">
        <f>G597</f>
        <v>32700000</v>
      </c>
      <c r="H596" s="19">
        <f>H597</f>
        <v>0</v>
      </c>
      <c r="I596" s="19">
        <f>I597</f>
        <v>0</v>
      </c>
      <c r="J596" s="19">
        <f>J597</f>
        <v>32700000</v>
      </c>
    </row>
    <row r="597" spans="1:13" s="9" customFormat="1" x14ac:dyDescent="0.25">
      <c r="A597" s="39" t="s">
        <v>1024</v>
      </c>
      <c r="B597" s="29" t="s">
        <v>1</v>
      </c>
      <c r="C597" s="30" t="s">
        <v>199</v>
      </c>
      <c r="D597" s="31">
        <v>10</v>
      </c>
      <c r="E597" s="32" t="s">
        <v>36</v>
      </c>
      <c r="F597" s="31">
        <v>3270000</v>
      </c>
      <c r="G597" s="31">
        <f>ROUNDDOWN($D597*$F597,-3)</f>
        <v>32700000</v>
      </c>
      <c r="H597" s="31">
        <v>0</v>
      </c>
      <c r="I597" s="31">
        <f>SUMIF(dd_kuitansi[MAK],$A597,dd_kuitansi[Jumlah])</f>
        <v>0</v>
      </c>
      <c r="J597" s="31">
        <f>$G597-SUM($H597:$I597)</f>
        <v>32700000</v>
      </c>
      <c r="M597" s="184"/>
    </row>
    <row r="598" spans="1:13" x14ac:dyDescent="0.25">
      <c r="A598" s="40" t="s">
        <v>604</v>
      </c>
      <c r="B598" s="17" t="s">
        <v>104</v>
      </c>
      <c r="C598" s="18" t="s">
        <v>105</v>
      </c>
      <c r="D598" s="19">
        <v>0</v>
      </c>
      <c r="E598" s="20" t="s">
        <v>1</v>
      </c>
      <c r="F598" s="19">
        <v>0</v>
      </c>
      <c r="G598" s="19">
        <f>G599</f>
        <v>3600000</v>
      </c>
      <c r="H598" s="19">
        <f>H599</f>
        <v>0</v>
      </c>
      <c r="I598" s="19">
        <f>I599</f>
        <v>0</v>
      </c>
      <c r="J598" s="19">
        <f>J599</f>
        <v>3600000</v>
      </c>
    </row>
    <row r="599" spans="1:13" x14ac:dyDescent="0.25">
      <c r="A599" s="40" t="s">
        <v>1025</v>
      </c>
      <c r="B599" s="29" t="s">
        <v>1</v>
      </c>
      <c r="C599" s="30" t="s">
        <v>197</v>
      </c>
      <c r="D599" s="31">
        <v>24</v>
      </c>
      <c r="E599" s="32" t="s">
        <v>36</v>
      </c>
      <c r="F599" s="31">
        <v>150000</v>
      </c>
      <c r="G599" s="31">
        <f>ROUNDDOWN($D599*$F599,-3)</f>
        <v>3600000</v>
      </c>
      <c r="H599" s="31">
        <v>0</v>
      </c>
      <c r="I599" s="31">
        <f>SUMIF(dd_kuitansi[MAK],$A599,dd_kuitansi[Jumlah])</f>
        <v>0</v>
      </c>
      <c r="J599" s="31">
        <f>$G599-SUM($H599:$I599)</f>
        <v>3600000</v>
      </c>
    </row>
    <row r="600" spans="1:13" s="9" customFormat="1" x14ac:dyDescent="0.25">
      <c r="A600" s="39" t="s">
        <v>605</v>
      </c>
      <c r="B600" s="17" t="s">
        <v>54</v>
      </c>
      <c r="C600" s="18" t="s">
        <v>55</v>
      </c>
      <c r="D600" s="19">
        <v>0</v>
      </c>
      <c r="E600" s="20" t="s">
        <v>1</v>
      </c>
      <c r="F600" s="19">
        <v>0</v>
      </c>
      <c r="G600" s="19">
        <f>G601</f>
        <v>46000000</v>
      </c>
      <c r="H600" s="19">
        <f>H601</f>
        <v>0</v>
      </c>
      <c r="I600" s="19">
        <f>I601</f>
        <v>0</v>
      </c>
      <c r="J600" s="19">
        <f>J601</f>
        <v>46000000</v>
      </c>
      <c r="M600" s="184"/>
    </row>
    <row r="601" spans="1:13" x14ac:dyDescent="0.25">
      <c r="A601" s="40"/>
      <c r="B601" s="29" t="s">
        <v>1</v>
      </c>
      <c r="C601" s="33" t="s">
        <v>90</v>
      </c>
      <c r="D601" s="31">
        <v>0</v>
      </c>
      <c r="E601" s="32" t="s">
        <v>1</v>
      </c>
      <c r="F601" s="31">
        <v>0</v>
      </c>
      <c r="G601" s="31">
        <f>SUM(G602:G604)</f>
        <v>46000000</v>
      </c>
      <c r="H601" s="31">
        <f>SUM(H602:H604)</f>
        <v>0</v>
      </c>
      <c r="I601" s="31">
        <f>SUM(I602:I604)</f>
        <v>0</v>
      </c>
      <c r="J601" s="31">
        <f>SUM(J602:J604)</f>
        <v>46000000</v>
      </c>
    </row>
    <row r="602" spans="1:13" s="9" customFormat="1" x14ac:dyDescent="0.25">
      <c r="A602" s="39" t="s">
        <v>1026</v>
      </c>
      <c r="B602" s="29" t="s">
        <v>1</v>
      </c>
      <c r="C602" s="30" t="s">
        <v>56</v>
      </c>
      <c r="D602" s="31">
        <v>30</v>
      </c>
      <c r="E602" s="32" t="s">
        <v>36</v>
      </c>
      <c r="F602" s="31">
        <v>300000</v>
      </c>
      <c r="G602" s="31">
        <f>ROUNDDOWN($D602*$F602,-3)</f>
        <v>9000000</v>
      </c>
      <c r="H602" s="31">
        <v>0</v>
      </c>
      <c r="I602" s="31">
        <f>SUMIF(dd_kuitansi[MAK],$A602,dd_kuitansi[Jumlah])</f>
        <v>0</v>
      </c>
      <c r="J602" s="31">
        <f>$G602-SUM($H602:$I602)</f>
        <v>9000000</v>
      </c>
      <c r="M602" s="184"/>
    </row>
    <row r="603" spans="1:13" x14ac:dyDescent="0.25">
      <c r="A603" s="40" t="s">
        <v>1027</v>
      </c>
      <c r="B603" s="29" t="s">
        <v>1</v>
      </c>
      <c r="C603" s="30" t="s">
        <v>57</v>
      </c>
      <c r="D603" s="31">
        <v>120</v>
      </c>
      <c r="E603" s="32" t="s">
        <v>36</v>
      </c>
      <c r="F603" s="31">
        <v>250000</v>
      </c>
      <c r="G603" s="31">
        <f>ROUNDDOWN($D603*$F603,-3)</f>
        <v>30000000</v>
      </c>
      <c r="H603" s="31">
        <v>0</v>
      </c>
      <c r="I603" s="31">
        <f>SUMIF(dd_kuitansi[MAK],$A603,dd_kuitansi[Jumlah])</f>
        <v>0</v>
      </c>
      <c r="J603" s="31">
        <f>$G603-SUM($H603:$I603)</f>
        <v>30000000</v>
      </c>
    </row>
    <row r="604" spans="1:13" s="9" customFormat="1" x14ac:dyDescent="0.25">
      <c r="A604" s="39" t="s">
        <v>1028</v>
      </c>
      <c r="B604" s="29" t="s">
        <v>1</v>
      </c>
      <c r="C604" s="30" t="s">
        <v>58</v>
      </c>
      <c r="D604" s="31">
        <v>35</v>
      </c>
      <c r="E604" s="32" t="s">
        <v>36</v>
      </c>
      <c r="F604" s="31">
        <v>200000</v>
      </c>
      <c r="G604" s="31">
        <f>ROUNDDOWN($D604*$F604,-3)</f>
        <v>7000000</v>
      </c>
      <c r="H604" s="31">
        <v>0</v>
      </c>
      <c r="I604" s="31">
        <f>SUMIF(dd_kuitansi[MAK],$A604,dd_kuitansi[Jumlah])</f>
        <v>0</v>
      </c>
      <c r="J604" s="31">
        <f>$G604-SUM($H604:$I604)</f>
        <v>7000000</v>
      </c>
      <c r="M604" s="184"/>
    </row>
    <row r="605" spans="1:13" ht="25.5" x14ac:dyDescent="0.25">
      <c r="A605" s="40" t="s">
        <v>425</v>
      </c>
      <c r="B605" s="25" t="s">
        <v>108</v>
      </c>
      <c r="C605" s="26" t="s">
        <v>200</v>
      </c>
      <c r="D605" s="27">
        <v>0</v>
      </c>
      <c r="E605" s="28" t="s">
        <v>1</v>
      </c>
      <c r="F605" s="27">
        <v>0</v>
      </c>
      <c r="G605" s="27">
        <f>SUM(G606,G609,G612,G614,G616,G618)</f>
        <v>347025000</v>
      </c>
      <c r="H605" s="27">
        <f>SUM(H606,H609,H612,H614,H616,H618)</f>
        <v>0</v>
      </c>
      <c r="I605" s="27">
        <f>SUM(I606,I609,I612,I614,I616,I618)</f>
        <v>0</v>
      </c>
      <c r="J605" s="27">
        <f>SUM(J606,J609,J612,J614,J616,J618)</f>
        <v>347025000</v>
      </c>
    </row>
    <row r="606" spans="1:13" s="9" customFormat="1" x14ac:dyDescent="0.25">
      <c r="A606" s="39" t="s">
        <v>606</v>
      </c>
      <c r="B606" s="17" t="s">
        <v>33</v>
      </c>
      <c r="C606" s="18" t="s">
        <v>34</v>
      </c>
      <c r="D606" s="19">
        <v>0</v>
      </c>
      <c r="E606" s="20" t="s">
        <v>1</v>
      </c>
      <c r="F606" s="19">
        <v>0</v>
      </c>
      <c r="G606" s="19">
        <f>SUM(G607:G608)</f>
        <v>38325000</v>
      </c>
      <c r="H606" s="19">
        <f>SUM(H607:H608)</f>
        <v>0</v>
      </c>
      <c r="I606" s="19">
        <f>SUM(I607:I608)</f>
        <v>0</v>
      </c>
      <c r="J606" s="19">
        <f>SUM(J607:J608)</f>
        <v>38325000</v>
      </c>
      <c r="M606" s="184"/>
    </row>
    <row r="607" spans="1:13" x14ac:dyDescent="0.25">
      <c r="A607" s="40" t="s">
        <v>1029</v>
      </c>
      <c r="B607" s="29" t="s">
        <v>1</v>
      </c>
      <c r="C607" s="30" t="s">
        <v>35</v>
      </c>
      <c r="D607" s="31">
        <v>425</v>
      </c>
      <c r="E607" s="32" t="s">
        <v>36</v>
      </c>
      <c r="F607" s="31">
        <v>69000</v>
      </c>
      <c r="G607" s="31">
        <f>ROUNDDOWN($D607*$F607,-3)</f>
        <v>29325000</v>
      </c>
      <c r="H607" s="31">
        <v>0</v>
      </c>
      <c r="I607" s="31">
        <f>SUMIF(dd_kuitansi[MAK],$A607,dd_kuitansi[Jumlah])</f>
        <v>0</v>
      </c>
      <c r="J607" s="31">
        <f>$G607-SUM($H607:$I607)</f>
        <v>29325000</v>
      </c>
    </row>
    <row r="608" spans="1:13" x14ac:dyDescent="0.25">
      <c r="A608" s="40" t="s">
        <v>1030</v>
      </c>
      <c r="B608" s="29" t="s">
        <v>1</v>
      </c>
      <c r="C608" s="30" t="s">
        <v>37</v>
      </c>
      <c r="D608" s="31">
        <v>6</v>
      </c>
      <c r="E608" s="32" t="s">
        <v>44</v>
      </c>
      <c r="F608" s="31">
        <v>1500000</v>
      </c>
      <c r="G608" s="31">
        <f>ROUNDDOWN($D608*$F608,-3)</f>
        <v>9000000</v>
      </c>
      <c r="H608" s="31">
        <v>0</v>
      </c>
      <c r="I608" s="31">
        <f>SUMIF(dd_kuitansi[MAK],$A608,dd_kuitansi[Jumlah])</f>
        <v>0</v>
      </c>
      <c r="J608" s="31">
        <f>$G608-SUM($H608:$I608)</f>
        <v>9000000</v>
      </c>
    </row>
    <row r="609" spans="1:13" x14ac:dyDescent="0.25">
      <c r="A609" s="40" t="s">
        <v>607</v>
      </c>
      <c r="B609" s="17" t="s">
        <v>41</v>
      </c>
      <c r="C609" s="18" t="s">
        <v>42</v>
      </c>
      <c r="D609" s="19">
        <v>0</v>
      </c>
      <c r="E609" s="20" t="s">
        <v>1</v>
      </c>
      <c r="F609" s="19">
        <v>0</v>
      </c>
      <c r="G609" s="19">
        <f>SUM(G610:G611)</f>
        <v>30000000</v>
      </c>
      <c r="H609" s="19">
        <f>SUM(H610:H611)</f>
        <v>0</v>
      </c>
      <c r="I609" s="19">
        <f>SUM(I610:I611)</f>
        <v>0</v>
      </c>
      <c r="J609" s="19">
        <f>SUM(J610:J611)</f>
        <v>30000000</v>
      </c>
    </row>
    <row r="610" spans="1:13" x14ac:dyDescent="0.25">
      <c r="A610" s="40" t="s">
        <v>1031</v>
      </c>
      <c r="B610" s="29" t="s">
        <v>1</v>
      </c>
      <c r="C610" s="30" t="s">
        <v>45</v>
      </c>
      <c r="D610" s="31">
        <v>12</v>
      </c>
      <c r="E610" s="32" t="s">
        <v>44</v>
      </c>
      <c r="F610" s="31">
        <v>1000000</v>
      </c>
      <c r="G610" s="31">
        <f>ROUNDDOWN($D610*$F610,-3)</f>
        <v>12000000</v>
      </c>
      <c r="H610" s="31">
        <v>0</v>
      </c>
      <c r="I610" s="31">
        <f>SUMIF(dd_kuitansi[MAK],$A610,dd_kuitansi[Jumlah])</f>
        <v>0</v>
      </c>
      <c r="J610" s="31">
        <f>$G610-SUM($H610:$I610)</f>
        <v>12000000</v>
      </c>
    </row>
    <row r="611" spans="1:13" s="9" customFormat="1" x14ac:dyDescent="0.25">
      <c r="A611" s="39" t="s">
        <v>1032</v>
      </c>
      <c r="B611" s="29" t="s">
        <v>1</v>
      </c>
      <c r="C611" s="30" t="s">
        <v>136</v>
      </c>
      <c r="D611" s="31">
        <v>12</v>
      </c>
      <c r="E611" s="32" t="s">
        <v>44</v>
      </c>
      <c r="F611" s="31">
        <v>1500000</v>
      </c>
      <c r="G611" s="31">
        <f>ROUNDDOWN($D611*$F611,-3)</f>
        <v>18000000</v>
      </c>
      <c r="H611" s="31">
        <v>0</v>
      </c>
      <c r="I611" s="31">
        <f>SUMIF(dd_kuitansi[MAK],$A611,dd_kuitansi[Jumlah])</f>
        <v>0</v>
      </c>
      <c r="J611" s="31">
        <f>$G611-SUM($H611:$I611)</f>
        <v>18000000</v>
      </c>
      <c r="M611" s="184"/>
    </row>
    <row r="612" spans="1:13" s="9" customFormat="1" x14ac:dyDescent="0.25">
      <c r="A612" s="39" t="s">
        <v>608</v>
      </c>
      <c r="B612" s="17" t="s">
        <v>46</v>
      </c>
      <c r="C612" s="18" t="s">
        <v>47</v>
      </c>
      <c r="D612" s="19">
        <v>0</v>
      </c>
      <c r="E612" s="20" t="s">
        <v>1</v>
      </c>
      <c r="F612" s="19">
        <v>0</v>
      </c>
      <c r="G612" s="19">
        <f>G613</f>
        <v>5000000</v>
      </c>
      <c r="H612" s="19">
        <f>H613</f>
        <v>0</v>
      </c>
      <c r="I612" s="19">
        <f>I613</f>
        <v>0</v>
      </c>
      <c r="J612" s="19">
        <f>J613</f>
        <v>5000000</v>
      </c>
      <c r="M612" s="184"/>
    </row>
    <row r="613" spans="1:13" x14ac:dyDescent="0.25">
      <c r="A613" s="40" t="s">
        <v>1033</v>
      </c>
      <c r="B613" s="29" t="s">
        <v>1</v>
      </c>
      <c r="C613" s="30" t="s">
        <v>48</v>
      </c>
      <c r="D613" s="31">
        <v>5</v>
      </c>
      <c r="E613" s="32" t="s">
        <v>49</v>
      </c>
      <c r="F613" s="31">
        <v>1000000</v>
      </c>
      <c r="G613" s="31">
        <f>ROUNDDOWN($D613*$F613,-3)</f>
        <v>5000000</v>
      </c>
      <c r="H613" s="31">
        <v>0</v>
      </c>
      <c r="I613" s="31">
        <f>SUMIF(dd_kuitansi[MAK],$A613,dd_kuitansi[Jumlah])</f>
        <v>0</v>
      </c>
      <c r="J613" s="31">
        <f>$G613-SUM($H613:$I613)</f>
        <v>5000000</v>
      </c>
    </row>
    <row r="614" spans="1:13" x14ac:dyDescent="0.25">
      <c r="A614" s="40" t="s">
        <v>609</v>
      </c>
      <c r="B614" s="17" t="s">
        <v>50</v>
      </c>
      <c r="C614" s="18" t="s">
        <v>51</v>
      </c>
      <c r="D614" s="19">
        <v>0</v>
      </c>
      <c r="E614" s="20" t="s">
        <v>1</v>
      </c>
      <c r="F614" s="19">
        <v>0</v>
      </c>
      <c r="G614" s="19">
        <f>G615</f>
        <v>156050000</v>
      </c>
      <c r="H614" s="19">
        <f>H615</f>
        <v>0</v>
      </c>
      <c r="I614" s="19">
        <f>I615</f>
        <v>0</v>
      </c>
      <c r="J614" s="19">
        <f>J615</f>
        <v>156050000</v>
      </c>
    </row>
    <row r="615" spans="1:13" s="9" customFormat="1" x14ac:dyDescent="0.25">
      <c r="A615" s="39" t="s">
        <v>1034</v>
      </c>
      <c r="B615" s="29" t="s">
        <v>1</v>
      </c>
      <c r="C615" s="30" t="s">
        <v>201</v>
      </c>
      <c r="D615" s="31">
        <v>48</v>
      </c>
      <c r="E615" s="32" t="s">
        <v>36</v>
      </c>
      <c r="F615" s="31">
        <v>3251042</v>
      </c>
      <c r="G615" s="31">
        <f>ROUNDDOWN($D615*$F615,-3)</f>
        <v>156050000</v>
      </c>
      <c r="H615" s="31">
        <v>0</v>
      </c>
      <c r="I615" s="31">
        <f>SUMIF(dd_kuitansi[MAK],$A615,dd_kuitansi[Jumlah])</f>
        <v>0</v>
      </c>
      <c r="J615" s="31">
        <f>$G615-SUM($H615:$I615)</f>
        <v>156050000</v>
      </c>
      <c r="M615" s="184"/>
    </row>
    <row r="616" spans="1:13" x14ac:dyDescent="0.25">
      <c r="A616" s="40" t="s">
        <v>610</v>
      </c>
      <c r="B616" s="17" t="s">
        <v>104</v>
      </c>
      <c r="C616" s="18" t="s">
        <v>105</v>
      </c>
      <c r="D616" s="19">
        <v>0</v>
      </c>
      <c r="E616" s="20" t="s">
        <v>1</v>
      </c>
      <c r="F616" s="19">
        <v>0</v>
      </c>
      <c r="G616" s="19">
        <f>G617</f>
        <v>9900000</v>
      </c>
      <c r="H616" s="19">
        <f>H617</f>
        <v>0</v>
      </c>
      <c r="I616" s="19">
        <f>I617</f>
        <v>0</v>
      </c>
      <c r="J616" s="19">
        <f>J617</f>
        <v>9900000</v>
      </c>
    </row>
    <row r="617" spans="1:13" ht="25.5" x14ac:dyDescent="0.25">
      <c r="A617" s="40" t="s">
        <v>1035</v>
      </c>
      <c r="B617" s="29" t="s">
        <v>1</v>
      </c>
      <c r="C617" s="30" t="s">
        <v>188</v>
      </c>
      <c r="D617" s="31">
        <v>66</v>
      </c>
      <c r="E617" s="32" t="s">
        <v>36</v>
      </c>
      <c r="F617" s="31">
        <v>150000</v>
      </c>
      <c r="G617" s="31">
        <f>ROUNDDOWN($D617*$F617,-3)</f>
        <v>9900000</v>
      </c>
      <c r="H617" s="31">
        <v>0</v>
      </c>
      <c r="I617" s="31">
        <f>SUMIF(dd_kuitansi[MAK],$A617,dd_kuitansi[Jumlah])</f>
        <v>0</v>
      </c>
      <c r="J617" s="31">
        <f>$G617-SUM($H617:$I617)</f>
        <v>9900000</v>
      </c>
    </row>
    <row r="618" spans="1:13" s="9" customFormat="1" x14ac:dyDescent="0.25">
      <c r="A618" s="39" t="s">
        <v>611</v>
      </c>
      <c r="B618" s="17" t="s">
        <v>54</v>
      </c>
      <c r="C618" s="18" t="s">
        <v>55</v>
      </c>
      <c r="D618" s="19">
        <v>0</v>
      </c>
      <c r="E618" s="20" t="s">
        <v>1</v>
      </c>
      <c r="F618" s="19">
        <v>0</v>
      </c>
      <c r="G618" s="19">
        <f>G619</f>
        <v>107750000</v>
      </c>
      <c r="H618" s="19">
        <f>H619</f>
        <v>0</v>
      </c>
      <c r="I618" s="19">
        <f>I619</f>
        <v>0</v>
      </c>
      <c r="J618" s="19">
        <f>J619</f>
        <v>107750000</v>
      </c>
      <c r="M618" s="184"/>
    </row>
    <row r="619" spans="1:13" x14ac:dyDescent="0.25">
      <c r="A619" s="40"/>
      <c r="B619" s="29" t="s">
        <v>1</v>
      </c>
      <c r="C619" s="33" t="s">
        <v>90</v>
      </c>
      <c r="D619" s="31">
        <v>0</v>
      </c>
      <c r="E619" s="32" t="s">
        <v>1</v>
      </c>
      <c r="F619" s="31">
        <v>0</v>
      </c>
      <c r="G619" s="31">
        <f>SUM(G620:G622)</f>
        <v>107750000</v>
      </c>
      <c r="H619" s="31">
        <f>SUM(H620:H622)</f>
        <v>0</v>
      </c>
      <c r="I619" s="31">
        <f>SUM(I620:I622)</f>
        <v>0</v>
      </c>
      <c r="J619" s="31">
        <f>SUM(J620:J622)</f>
        <v>107750000</v>
      </c>
    </row>
    <row r="620" spans="1:13" s="9" customFormat="1" x14ac:dyDescent="0.25">
      <c r="A620" s="39" t="s">
        <v>1036</v>
      </c>
      <c r="B620" s="29" t="s">
        <v>1</v>
      </c>
      <c r="C620" s="30" t="s">
        <v>56</v>
      </c>
      <c r="D620" s="31">
        <v>100</v>
      </c>
      <c r="E620" s="32" t="s">
        <v>36</v>
      </c>
      <c r="F620" s="31">
        <v>300000</v>
      </c>
      <c r="G620" s="31">
        <f>ROUNDDOWN($D620*$F620,-3)</f>
        <v>30000000</v>
      </c>
      <c r="H620" s="31">
        <v>0</v>
      </c>
      <c r="I620" s="31">
        <f>SUMIF(dd_kuitansi[MAK],$A620,dd_kuitansi[Jumlah])</f>
        <v>0</v>
      </c>
      <c r="J620" s="31">
        <f>$G620-SUM($H620:$I620)</f>
        <v>30000000</v>
      </c>
      <c r="M620" s="184"/>
    </row>
    <row r="621" spans="1:13" x14ac:dyDescent="0.25">
      <c r="A621" s="40" t="s">
        <v>1037</v>
      </c>
      <c r="B621" s="29" t="s">
        <v>1</v>
      </c>
      <c r="C621" s="30" t="s">
        <v>57</v>
      </c>
      <c r="D621" s="31">
        <v>263</v>
      </c>
      <c r="E621" s="32" t="s">
        <v>36</v>
      </c>
      <c r="F621" s="31">
        <v>250000</v>
      </c>
      <c r="G621" s="31">
        <f>ROUNDDOWN($D621*$F621,-3)</f>
        <v>65750000</v>
      </c>
      <c r="H621" s="31">
        <v>0</v>
      </c>
      <c r="I621" s="31">
        <f>SUMIF(dd_kuitansi[MAK],$A621,dd_kuitansi[Jumlah])</f>
        <v>0</v>
      </c>
      <c r="J621" s="31">
        <f>$G621-SUM($H621:$I621)</f>
        <v>65750000</v>
      </c>
    </row>
    <row r="622" spans="1:13" s="9" customFormat="1" x14ac:dyDescent="0.25">
      <c r="A622" s="39" t="s">
        <v>1038</v>
      </c>
      <c r="B622" s="29" t="s">
        <v>1</v>
      </c>
      <c r="C622" s="30" t="s">
        <v>58</v>
      </c>
      <c r="D622" s="31">
        <v>60</v>
      </c>
      <c r="E622" s="32" t="s">
        <v>36</v>
      </c>
      <c r="F622" s="31">
        <v>200000</v>
      </c>
      <c r="G622" s="31">
        <f>ROUNDDOWN($D622*$F622,-3)</f>
        <v>12000000</v>
      </c>
      <c r="H622" s="31">
        <v>0</v>
      </c>
      <c r="I622" s="31">
        <f>SUMIF(dd_kuitansi[MAK],$A622,dd_kuitansi[Jumlah])</f>
        <v>0</v>
      </c>
      <c r="J622" s="31">
        <f>$G622-SUM($H622:$I622)</f>
        <v>12000000</v>
      </c>
      <c r="M622" s="184"/>
    </row>
    <row r="623" spans="1:13" x14ac:dyDescent="0.25">
      <c r="A623" s="40" t="s">
        <v>386</v>
      </c>
      <c r="B623" s="21" t="s">
        <v>202</v>
      </c>
      <c r="C623" s="22" t="s">
        <v>203</v>
      </c>
      <c r="D623" s="23">
        <v>0</v>
      </c>
      <c r="E623" s="24" t="s">
        <v>1</v>
      </c>
      <c r="F623" s="23">
        <v>0</v>
      </c>
      <c r="G623" s="23">
        <f>G624</f>
        <v>257080000</v>
      </c>
      <c r="H623" s="23">
        <f>H624</f>
        <v>0</v>
      </c>
      <c r="I623" s="23">
        <f>I624</f>
        <v>0</v>
      </c>
      <c r="J623" s="23">
        <f>J624</f>
        <v>257080000</v>
      </c>
    </row>
    <row r="624" spans="1:13" s="9" customFormat="1" x14ac:dyDescent="0.25">
      <c r="A624" s="39" t="s">
        <v>426</v>
      </c>
      <c r="B624" s="25" t="s">
        <v>11</v>
      </c>
      <c r="C624" s="26" t="s">
        <v>204</v>
      </c>
      <c r="D624" s="27">
        <v>0</v>
      </c>
      <c r="E624" s="28" t="s">
        <v>1</v>
      </c>
      <c r="F624" s="27">
        <v>0</v>
      </c>
      <c r="G624" s="27">
        <f>SUM(G625,G630,G632,G634,G636)</f>
        <v>257080000</v>
      </c>
      <c r="H624" s="27">
        <f>SUM(H625,H630,H632,H634,H636)</f>
        <v>0</v>
      </c>
      <c r="I624" s="27">
        <f>SUM(I625,I630,I632,I634,I636)</f>
        <v>0</v>
      </c>
      <c r="J624" s="27">
        <f>SUM(J625,J630,J632,J634,J636)</f>
        <v>257080000</v>
      </c>
      <c r="M624" s="184"/>
    </row>
    <row r="625" spans="1:13" x14ac:dyDescent="0.25">
      <c r="A625" s="40" t="s">
        <v>612</v>
      </c>
      <c r="B625" s="17" t="s">
        <v>33</v>
      </c>
      <c r="C625" s="18" t="s">
        <v>34</v>
      </c>
      <c r="D625" s="19">
        <v>0</v>
      </c>
      <c r="E625" s="20" t="s">
        <v>1</v>
      </c>
      <c r="F625" s="19">
        <v>0</v>
      </c>
      <c r="G625" s="19">
        <f>SUM(G626:G629)</f>
        <v>20280000</v>
      </c>
      <c r="H625" s="19">
        <f>SUM(H626:H629)</f>
        <v>0</v>
      </c>
      <c r="I625" s="19">
        <f>SUM(I626:I629)</f>
        <v>0</v>
      </c>
      <c r="J625" s="19">
        <f>SUM(J626:J629)</f>
        <v>20280000</v>
      </c>
    </row>
    <row r="626" spans="1:13" x14ac:dyDescent="0.25">
      <c r="A626" s="40" t="s">
        <v>1039</v>
      </c>
      <c r="B626" s="29" t="s">
        <v>1</v>
      </c>
      <c r="C626" s="30" t="s">
        <v>205</v>
      </c>
      <c r="D626" s="31">
        <v>120</v>
      </c>
      <c r="E626" s="32" t="s">
        <v>36</v>
      </c>
      <c r="F626" s="31">
        <v>69000</v>
      </c>
      <c r="G626" s="31">
        <f>ROUNDDOWN($D626*$F626,-3)</f>
        <v>8280000</v>
      </c>
      <c r="H626" s="31">
        <v>0</v>
      </c>
      <c r="I626" s="31">
        <f>SUMIF(dd_kuitansi[MAK],$A626,dd_kuitansi[Jumlah])</f>
        <v>0</v>
      </c>
      <c r="J626" s="31">
        <f>$G626-SUM($H626:$I626)</f>
        <v>8280000</v>
      </c>
    </row>
    <row r="627" spans="1:13" x14ac:dyDescent="0.25">
      <c r="A627" s="40" t="s">
        <v>1040</v>
      </c>
      <c r="B627" s="29" t="s">
        <v>1</v>
      </c>
      <c r="C627" s="30" t="s">
        <v>37</v>
      </c>
      <c r="D627" s="31">
        <v>3</v>
      </c>
      <c r="E627" s="32" t="s">
        <v>16</v>
      </c>
      <c r="F627" s="31">
        <v>1500000</v>
      </c>
      <c r="G627" s="31">
        <f>ROUNDDOWN($D627*$F627,-3)</f>
        <v>4500000</v>
      </c>
      <c r="H627" s="31">
        <v>0</v>
      </c>
      <c r="I627" s="31">
        <f>SUMIF(dd_kuitansi[MAK],$A627,dd_kuitansi[Jumlah])</f>
        <v>0</v>
      </c>
      <c r="J627" s="31">
        <f>$G627-SUM($H627:$I627)</f>
        <v>4500000</v>
      </c>
    </row>
    <row r="628" spans="1:13" x14ac:dyDescent="0.25">
      <c r="A628" s="40" t="s">
        <v>1041</v>
      </c>
      <c r="B628" s="29" t="s">
        <v>1</v>
      </c>
      <c r="C628" s="30" t="s">
        <v>45</v>
      </c>
      <c r="D628" s="31">
        <v>3</v>
      </c>
      <c r="E628" s="32" t="s">
        <v>16</v>
      </c>
      <c r="F628" s="31">
        <v>1000000</v>
      </c>
      <c r="G628" s="31">
        <f>ROUNDDOWN($D628*$F628,-3)</f>
        <v>3000000</v>
      </c>
      <c r="H628" s="31">
        <v>0</v>
      </c>
      <c r="I628" s="31">
        <f>SUMIF(dd_kuitansi[MAK],$A628,dd_kuitansi[Jumlah])</f>
        <v>0</v>
      </c>
      <c r="J628" s="31">
        <f>$G628-SUM($H628:$I628)</f>
        <v>3000000</v>
      </c>
    </row>
    <row r="629" spans="1:13" s="9" customFormat="1" x14ac:dyDescent="0.25">
      <c r="A629" s="39" t="s">
        <v>1042</v>
      </c>
      <c r="B629" s="29" t="s">
        <v>1</v>
      </c>
      <c r="C629" s="30" t="s">
        <v>43</v>
      </c>
      <c r="D629" s="31">
        <v>3</v>
      </c>
      <c r="E629" s="32" t="s">
        <v>16</v>
      </c>
      <c r="F629" s="31">
        <v>1500000</v>
      </c>
      <c r="G629" s="31">
        <f>ROUNDDOWN($D629*$F629,-3)</f>
        <v>4500000</v>
      </c>
      <c r="H629" s="31">
        <v>0</v>
      </c>
      <c r="I629" s="31">
        <f>SUMIF(dd_kuitansi[MAK],$A629,dd_kuitansi[Jumlah])</f>
        <v>0</v>
      </c>
      <c r="J629" s="31">
        <f>$G629-SUM($H629:$I629)</f>
        <v>4500000</v>
      </c>
      <c r="M629" s="184"/>
    </row>
    <row r="630" spans="1:13" s="9" customFormat="1" x14ac:dyDescent="0.25">
      <c r="A630" s="39" t="s">
        <v>613</v>
      </c>
      <c r="B630" s="17" t="s">
        <v>46</v>
      </c>
      <c r="C630" s="18" t="s">
        <v>47</v>
      </c>
      <c r="D630" s="19">
        <v>0</v>
      </c>
      <c r="E630" s="20" t="s">
        <v>1</v>
      </c>
      <c r="F630" s="19">
        <v>0</v>
      </c>
      <c r="G630" s="19">
        <f>G631</f>
        <v>10000000</v>
      </c>
      <c r="H630" s="19">
        <f>H631</f>
        <v>0</v>
      </c>
      <c r="I630" s="19">
        <f>I631</f>
        <v>0</v>
      </c>
      <c r="J630" s="19">
        <f>J631</f>
        <v>10000000</v>
      </c>
      <c r="M630" s="184"/>
    </row>
    <row r="631" spans="1:13" s="9" customFormat="1" x14ac:dyDescent="0.25">
      <c r="A631" s="39" t="s">
        <v>1043</v>
      </c>
      <c r="B631" s="29" t="s">
        <v>1</v>
      </c>
      <c r="C631" s="30" t="s">
        <v>48</v>
      </c>
      <c r="D631" s="31">
        <v>10</v>
      </c>
      <c r="E631" s="32" t="s">
        <v>49</v>
      </c>
      <c r="F631" s="31">
        <v>1000000</v>
      </c>
      <c r="G631" s="31">
        <f>ROUNDDOWN($D631*$F631,-3)</f>
        <v>10000000</v>
      </c>
      <c r="H631" s="31">
        <v>0</v>
      </c>
      <c r="I631" s="31">
        <f>SUMIF(dd_kuitansi[MAK],$A631,dd_kuitansi[Jumlah])</f>
        <v>0</v>
      </c>
      <c r="J631" s="31">
        <f>$G631-SUM($H631:$I631)</f>
        <v>10000000</v>
      </c>
      <c r="M631" s="184"/>
    </row>
    <row r="632" spans="1:13" x14ac:dyDescent="0.25">
      <c r="A632" s="40" t="s">
        <v>614</v>
      </c>
      <c r="B632" s="17" t="s">
        <v>50</v>
      </c>
      <c r="C632" s="18" t="s">
        <v>51</v>
      </c>
      <c r="D632" s="19">
        <v>0</v>
      </c>
      <c r="E632" s="20" t="s">
        <v>1</v>
      </c>
      <c r="F632" s="19">
        <v>0</v>
      </c>
      <c r="G632" s="19">
        <f>G633</f>
        <v>167200000</v>
      </c>
      <c r="H632" s="19">
        <f>H633</f>
        <v>0</v>
      </c>
      <c r="I632" s="19">
        <f>I633</f>
        <v>0</v>
      </c>
      <c r="J632" s="19">
        <f>J633</f>
        <v>167200000</v>
      </c>
    </row>
    <row r="633" spans="1:13" x14ac:dyDescent="0.25">
      <c r="A633" s="40" t="s">
        <v>1044</v>
      </c>
      <c r="B633" s="29" t="s">
        <v>1</v>
      </c>
      <c r="C633" s="30" t="s">
        <v>206</v>
      </c>
      <c r="D633" s="31">
        <v>46</v>
      </c>
      <c r="E633" s="32" t="s">
        <v>36</v>
      </c>
      <c r="F633" s="31">
        <v>3634783</v>
      </c>
      <c r="G633" s="31">
        <f>ROUNDDOWN($D633*$F633,-3)</f>
        <v>167200000</v>
      </c>
      <c r="H633" s="31">
        <v>0</v>
      </c>
      <c r="I633" s="31">
        <f>SUMIF(dd_kuitansi[MAK],$A633,dd_kuitansi[Jumlah])</f>
        <v>0</v>
      </c>
      <c r="J633" s="31">
        <f>$G633-SUM($H633:$I633)</f>
        <v>167200000</v>
      </c>
    </row>
    <row r="634" spans="1:13" x14ac:dyDescent="0.25">
      <c r="A634" s="40" t="s">
        <v>615</v>
      </c>
      <c r="B634" s="17" t="s">
        <v>104</v>
      </c>
      <c r="C634" s="18" t="s">
        <v>105</v>
      </c>
      <c r="D634" s="19">
        <v>0</v>
      </c>
      <c r="E634" s="20" t="s">
        <v>1</v>
      </c>
      <c r="F634" s="19">
        <v>0</v>
      </c>
      <c r="G634" s="19">
        <f>G635</f>
        <v>3600000</v>
      </c>
      <c r="H634" s="19">
        <f>H635</f>
        <v>0</v>
      </c>
      <c r="I634" s="19">
        <f>I635</f>
        <v>0</v>
      </c>
      <c r="J634" s="19">
        <f>J635</f>
        <v>3600000</v>
      </c>
    </row>
    <row r="635" spans="1:13" x14ac:dyDescent="0.25">
      <c r="A635" s="40" t="s">
        <v>1045</v>
      </c>
      <c r="B635" s="29" t="s">
        <v>1</v>
      </c>
      <c r="C635" s="30" t="s">
        <v>207</v>
      </c>
      <c r="D635" s="31">
        <v>24</v>
      </c>
      <c r="E635" s="32" t="s">
        <v>36</v>
      </c>
      <c r="F635" s="31">
        <v>150000</v>
      </c>
      <c r="G635" s="31">
        <f>ROUNDDOWN($D635*$F635,-3)</f>
        <v>3600000</v>
      </c>
      <c r="H635" s="31">
        <v>0</v>
      </c>
      <c r="I635" s="31">
        <f>SUMIF(dd_kuitansi[MAK],$A635,dd_kuitansi[Jumlah])</f>
        <v>0</v>
      </c>
      <c r="J635" s="31">
        <f>$G635-SUM($H635:$I635)</f>
        <v>3600000</v>
      </c>
    </row>
    <row r="636" spans="1:13" s="9" customFormat="1" x14ac:dyDescent="0.25">
      <c r="A636" s="39" t="s">
        <v>616</v>
      </c>
      <c r="B636" s="17" t="s">
        <v>54</v>
      </c>
      <c r="C636" s="18" t="s">
        <v>55</v>
      </c>
      <c r="D636" s="19">
        <v>0</v>
      </c>
      <c r="E636" s="20" t="s">
        <v>1</v>
      </c>
      <c r="F636" s="19">
        <v>0</v>
      </c>
      <c r="G636" s="19">
        <f>G637</f>
        <v>56000000</v>
      </c>
      <c r="H636" s="19">
        <f>H637</f>
        <v>0</v>
      </c>
      <c r="I636" s="19">
        <f>I637</f>
        <v>0</v>
      </c>
      <c r="J636" s="19">
        <f>J637</f>
        <v>56000000</v>
      </c>
      <c r="M636" s="184"/>
    </row>
    <row r="637" spans="1:13" x14ac:dyDescent="0.25">
      <c r="A637" s="40"/>
      <c r="B637" s="29" t="s">
        <v>1</v>
      </c>
      <c r="C637" s="33" t="s">
        <v>90</v>
      </c>
      <c r="D637" s="31">
        <v>0</v>
      </c>
      <c r="E637" s="32" t="s">
        <v>1</v>
      </c>
      <c r="F637" s="31">
        <v>0</v>
      </c>
      <c r="G637" s="31">
        <f>SUM(G638:G640)</f>
        <v>56000000</v>
      </c>
      <c r="H637" s="31">
        <f>SUM(H638:H640)</f>
        <v>0</v>
      </c>
      <c r="I637" s="31">
        <f>SUM(I638:I640)</f>
        <v>0</v>
      </c>
      <c r="J637" s="31">
        <f>SUM(J638:J640)</f>
        <v>56000000</v>
      </c>
    </row>
    <row r="638" spans="1:13" s="9" customFormat="1" x14ac:dyDescent="0.25">
      <c r="A638" s="39" t="s">
        <v>1046</v>
      </c>
      <c r="B638" s="29" t="s">
        <v>1</v>
      </c>
      <c r="C638" s="30" t="s">
        <v>56</v>
      </c>
      <c r="D638" s="31">
        <v>40</v>
      </c>
      <c r="E638" s="32" t="s">
        <v>36</v>
      </c>
      <c r="F638" s="31">
        <v>300000</v>
      </c>
      <c r="G638" s="31">
        <f>ROUNDDOWN($D638*$F638,-3)</f>
        <v>12000000</v>
      </c>
      <c r="H638" s="31">
        <v>0</v>
      </c>
      <c r="I638" s="31">
        <f>SUMIF(dd_kuitansi[MAK],$A638,dd_kuitansi[Jumlah])</f>
        <v>0</v>
      </c>
      <c r="J638" s="31">
        <f>$G638-SUM($H638:$I638)</f>
        <v>12000000</v>
      </c>
      <c r="M638" s="184"/>
    </row>
    <row r="639" spans="1:13" x14ac:dyDescent="0.25">
      <c r="A639" s="40" t="s">
        <v>1047</v>
      </c>
      <c r="B639" s="29" t="s">
        <v>1</v>
      </c>
      <c r="C639" s="30" t="s">
        <v>57</v>
      </c>
      <c r="D639" s="31">
        <v>152</v>
      </c>
      <c r="E639" s="32" t="s">
        <v>36</v>
      </c>
      <c r="F639" s="31">
        <v>250000</v>
      </c>
      <c r="G639" s="31">
        <f>ROUNDDOWN($D639*$F639,-3)</f>
        <v>38000000</v>
      </c>
      <c r="H639" s="31">
        <v>0</v>
      </c>
      <c r="I639" s="31">
        <f>SUMIF(dd_kuitansi[MAK],$A639,dd_kuitansi[Jumlah])</f>
        <v>0</v>
      </c>
      <c r="J639" s="31">
        <f>$G639-SUM($H639:$I639)</f>
        <v>38000000</v>
      </c>
    </row>
    <row r="640" spans="1:13" s="9" customFormat="1" x14ac:dyDescent="0.25">
      <c r="A640" s="39" t="s">
        <v>1048</v>
      </c>
      <c r="B640" s="29" t="s">
        <v>1</v>
      </c>
      <c r="C640" s="30" t="s">
        <v>58</v>
      </c>
      <c r="D640" s="31">
        <v>30</v>
      </c>
      <c r="E640" s="32" t="s">
        <v>36</v>
      </c>
      <c r="F640" s="31">
        <v>200000</v>
      </c>
      <c r="G640" s="31">
        <f>ROUNDDOWN($D640*$F640,-3)</f>
        <v>6000000</v>
      </c>
      <c r="H640" s="31">
        <v>0</v>
      </c>
      <c r="I640" s="31">
        <f>SUMIF(dd_kuitansi[MAK],$A640,dd_kuitansi[Jumlah])</f>
        <v>0</v>
      </c>
      <c r="J640" s="31">
        <f>$G640-SUM($H640:$I640)</f>
        <v>6000000</v>
      </c>
      <c r="M640" s="184"/>
    </row>
    <row r="641" spans="1:13" ht="25.5" x14ac:dyDescent="0.25">
      <c r="A641" s="40" t="s">
        <v>387</v>
      </c>
      <c r="B641" s="21" t="s">
        <v>208</v>
      </c>
      <c r="C641" s="22" t="s">
        <v>209</v>
      </c>
      <c r="D641" s="23">
        <v>0</v>
      </c>
      <c r="E641" s="24" t="s">
        <v>1</v>
      </c>
      <c r="F641" s="23">
        <v>0</v>
      </c>
      <c r="G641" s="23">
        <f>SUM(G642,G662,G683,G688,G706,G725,G746,G764)</f>
        <v>3408606000</v>
      </c>
      <c r="H641" s="23">
        <f>SUM(H642,H662,H683,H688,H706,H725,H746,H764)</f>
        <v>0</v>
      </c>
      <c r="I641" s="23">
        <f>SUM(I642,I662,I683,I688,I706,I725,I746,I764)</f>
        <v>0</v>
      </c>
      <c r="J641" s="23">
        <f>SUM(J642,J662,J683,J688,J706,J725,J746,J764)</f>
        <v>3408606000</v>
      </c>
    </row>
    <row r="642" spans="1:13" s="9" customFormat="1" ht="25.5" x14ac:dyDescent="0.25">
      <c r="A642" s="39" t="s">
        <v>427</v>
      </c>
      <c r="B642" s="25" t="s">
        <v>11</v>
      </c>
      <c r="C642" s="26" t="s">
        <v>210</v>
      </c>
      <c r="D642" s="27">
        <v>0</v>
      </c>
      <c r="E642" s="28" t="s">
        <v>1</v>
      </c>
      <c r="F642" s="27">
        <v>0</v>
      </c>
      <c r="G642" s="27">
        <f>SUM(G643,G646,G649,G651,G656,G658)</f>
        <v>266520000</v>
      </c>
      <c r="H642" s="27">
        <f>SUM(H643,H646,H649,H651,H656,H658)</f>
        <v>0</v>
      </c>
      <c r="I642" s="27">
        <f>SUM(I643,I646,I649,I651,I656,I658)</f>
        <v>0</v>
      </c>
      <c r="J642" s="27">
        <f>SUM(J643,J646,J649,J651,J656,J658)</f>
        <v>266520000</v>
      </c>
      <c r="M642" s="184"/>
    </row>
    <row r="643" spans="1:13" x14ac:dyDescent="0.25">
      <c r="A643" s="40" t="s">
        <v>617</v>
      </c>
      <c r="B643" s="17" t="s">
        <v>33</v>
      </c>
      <c r="C643" s="18" t="s">
        <v>34</v>
      </c>
      <c r="D643" s="19">
        <v>0</v>
      </c>
      <c r="E643" s="20" t="s">
        <v>1</v>
      </c>
      <c r="F643" s="19">
        <v>0</v>
      </c>
      <c r="G643" s="19">
        <f>SUM(G644:G645)</f>
        <v>15660000</v>
      </c>
      <c r="H643" s="19">
        <f>SUM(H644:H645)</f>
        <v>0</v>
      </c>
      <c r="I643" s="19">
        <f>SUM(I644:I645)</f>
        <v>0</v>
      </c>
      <c r="J643" s="19">
        <f>SUM(J644:J645)</f>
        <v>15660000</v>
      </c>
    </row>
    <row r="644" spans="1:13" x14ac:dyDescent="0.25">
      <c r="A644" s="40" t="s">
        <v>1049</v>
      </c>
      <c r="B644" s="29" t="s">
        <v>1</v>
      </c>
      <c r="C644" s="30" t="s">
        <v>35</v>
      </c>
      <c r="D644" s="31">
        <v>140</v>
      </c>
      <c r="E644" s="32" t="s">
        <v>36</v>
      </c>
      <c r="F644" s="31">
        <v>69000</v>
      </c>
      <c r="G644" s="31">
        <f>ROUNDDOWN($D644*$F644,-3)</f>
        <v>9660000</v>
      </c>
      <c r="H644" s="31">
        <v>0</v>
      </c>
      <c r="I644" s="31">
        <f>SUMIF(dd_kuitansi[MAK],$A644,dd_kuitansi[Jumlah])</f>
        <v>0</v>
      </c>
      <c r="J644" s="31">
        <f>$G644-SUM($H644:$I644)</f>
        <v>9660000</v>
      </c>
    </row>
    <row r="645" spans="1:13" x14ac:dyDescent="0.25">
      <c r="A645" s="40" t="s">
        <v>1050</v>
      </c>
      <c r="B645" s="29" t="s">
        <v>1</v>
      </c>
      <c r="C645" s="30" t="s">
        <v>37</v>
      </c>
      <c r="D645" s="31">
        <v>4</v>
      </c>
      <c r="E645" s="32" t="s">
        <v>16</v>
      </c>
      <c r="F645" s="31">
        <v>1500000</v>
      </c>
      <c r="G645" s="31">
        <f>ROUNDDOWN($D645*$F645,-3)</f>
        <v>6000000</v>
      </c>
      <c r="H645" s="31">
        <v>0</v>
      </c>
      <c r="I645" s="31">
        <f>SUMIF(dd_kuitansi[MAK],$A645,dd_kuitansi[Jumlah])</f>
        <v>0</v>
      </c>
      <c r="J645" s="31">
        <f>$G645-SUM($H645:$I645)</f>
        <v>6000000</v>
      </c>
    </row>
    <row r="646" spans="1:13" x14ac:dyDescent="0.25">
      <c r="A646" s="40" t="s">
        <v>618</v>
      </c>
      <c r="B646" s="17" t="s">
        <v>41</v>
      </c>
      <c r="C646" s="18" t="s">
        <v>42</v>
      </c>
      <c r="D646" s="19">
        <v>0</v>
      </c>
      <c r="E646" s="20" t="s">
        <v>1</v>
      </c>
      <c r="F646" s="19">
        <v>0</v>
      </c>
      <c r="G646" s="19">
        <f>SUM(G647:G648)</f>
        <v>10000000</v>
      </c>
      <c r="H646" s="19">
        <f>SUM(H647:H648)</f>
        <v>0</v>
      </c>
      <c r="I646" s="19">
        <f>SUM(I647:I648)</f>
        <v>0</v>
      </c>
      <c r="J646" s="19">
        <f>SUM(J647:J648)</f>
        <v>10000000</v>
      </c>
    </row>
    <row r="647" spans="1:13" s="9" customFormat="1" x14ac:dyDescent="0.25">
      <c r="A647" s="39" t="s">
        <v>1051</v>
      </c>
      <c r="B647" s="29" t="s">
        <v>1</v>
      </c>
      <c r="C647" s="30" t="s">
        <v>45</v>
      </c>
      <c r="D647" s="31">
        <v>4</v>
      </c>
      <c r="E647" s="32" t="s">
        <v>16</v>
      </c>
      <c r="F647" s="31">
        <v>1000000</v>
      </c>
      <c r="G647" s="31">
        <f>ROUNDDOWN($D647*$F647,-3)</f>
        <v>4000000</v>
      </c>
      <c r="H647" s="31">
        <v>0</v>
      </c>
      <c r="I647" s="31">
        <f>SUMIF(dd_kuitansi[MAK],$A647,dd_kuitansi[Jumlah])</f>
        <v>0</v>
      </c>
      <c r="J647" s="31">
        <f>$G647-SUM($H647:$I647)</f>
        <v>4000000</v>
      </c>
      <c r="M647" s="184"/>
    </row>
    <row r="648" spans="1:13" s="9" customFormat="1" x14ac:dyDescent="0.25">
      <c r="A648" s="39" t="s">
        <v>1052</v>
      </c>
      <c r="B648" s="29" t="s">
        <v>1</v>
      </c>
      <c r="C648" s="30" t="s">
        <v>43</v>
      </c>
      <c r="D648" s="31">
        <v>4</v>
      </c>
      <c r="E648" s="32" t="s">
        <v>16</v>
      </c>
      <c r="F648" s="31">
        <v>1500000</v>
      </c>
      <c r="G648" s="31">
        <f>ROUNDDOWN($D648*$F648,-3)</f>
        <v>6000000</v>
      </c>
      <c r="H648" s="31">
        <v>0</v>
      </c>
      <c r="I648" s="31">
        <f>SUMIF(dd_kuitansi[MAK],$A648,dd_kuitansi[Jumlah])</f>
        <v>0</v>
      </c>
      <c r="J648" s="31">
        <f>$G648-SUM($H648:$I648)</f>
        <v>6000000</v>
      </c>
      <c r="M648" s="184"/>
    </row>
    <row r="649" spans="1:13" s="9" customFormat="1" x14ac:dyDescent="0.25">
      <c r="A649" s="39" t="s">
        <v>619</v>
      </c>
      <c r="B649" s="17" t="s">
        <v>46</v>
      </c>
      <c r="C649" s="18" t="s">
        <v>47</v>
      </c>
      <c r="D649" s="19">
        <v>0</v>
      </c>
      <c r="E649" s="20" t="s">
        <v>1</v>
      </c>
      <c r="F649" s="19">
        <v>0</v>
      </c>
      <c r="G649" s="19">
        <f>G650</f>
        <v>10000000</v>
      </c>
      <c r="H649" s="19">
        <f>H650</f>
        <v>0</v>
      </c>
      <c r="I649" s="19">
        <f>I650</f>
        <v>0</v>
      </c>
      <c r="J649" s="19">
        <f>J650</f>
        <v>10000000</v>
      </c>
      <c r="M649" s="184"/>
    </row>
    <row r="650" spans="1:13" x14ac:dyDescent="0.25">
      <c r="A650" s="40" t="s">
        <v>1053</v>
      </c>
      <c r="B650" s="29" t="s">
        <v>1</v>
      </c>
      <c r="C650" s="30" t="s">
        <v>48</v>
      </c>
      <c r="D650" s="31">
        <v>10</v>
      </c>
      <c r="E650" s="32" t="s">
        <v>49</v>
      </c>
      <c r="F650" s="31">
        <v>1000000</v>
      </c>
      <c r="G650" s="31">
        <f>ROUNDDOWN($D650*$F650,-3)</f>
        <v>10000000</v>
      </c>
      <c r="H650" s="31">
        <v>0</v>
      </c>
      <c r="I650" s="31">
        <f>SUMIF(dd_kuitansi[MAK],$A650,dd_kuitansi[Jumlah])</f>
        <v>0</v>
      </c>
      <c r="J650" s="31">
        <f>$G650-SUM($H650:$I650)</f>
        <v>10000000</v>
      </c>
    </row>
    <row r="651" spans="1:13" x14ac:dyDescent="0.25">
      <c r="A651" s="40" t="s">
        <v>620</v>
      </c>
      <c r="B651" s="17" t="s">
        <v>50</v>
      </c>
      <c r="C651" s="18" t="s">
        <v>51</v>
      </c>
      <c r="D651" s="19">
        <v>0</v>
      </c>
      <c r="E651" s="20" t="s">
        <v>1</v>
      </c>
      <c r="F651" s="19">
        <v>0</v>
      </c>
      <c r="G651" s="19">
        <f>SUM(G652:G655)</f>
        <v>171260000</v>
      </c>
      <c r="H651" s="19">
        <f>SUM(H652:H655)</f>
        <v>0</v>
      </c>
      <c r="I651" s="19">
        <f>SUM(I652:I655)</f>
        <v>0</v>
      </c>
      <c r="J651" s="19">
        <f>SUM(J652:J655)</f>
        <v>171260000</v>
      </c>
    </row>
    <row r="652" spans="1:13" s="9" customFormat="1" x14ac:dyDescent="0.25">
      <c r="A652" s="39" t="s">
        <v>1054</v>
      </c>
      <c r="B652" s="29" t="s">
        <v>1</v>
      </c>
      <c r="C652" s="30" t="s">
        <v>211</v>
      </c>
      <c r="D652" s="31">
        <v>6</v>
      </c>
      <c r="E652" s="32" t="s">
        <v>36</v>
      </c>
      <c r="F652" s="31">
        <v>5460000</v>
      </c>
      <c r="G652" s="31">
        <f>ROUNDDOWN($D652*$F652,-3)</f>
        <v>32760000</v>
      </c>
      <c r="H652" s="31">
        <v>0</v>
      </c>
      <c r="I652" s="31">
        <f>SUMIF(dd_kuitansi[MAK],$A652,dd_kuitansi[Jumlah])</f>
        <v>0</v>
      </c>
      <c r="J652" s="31">
        <f>$G652-SUM($H652:$I652)</f>
        <v>32760000</v>
      </c>
      <c r="M652" s="184"/>
    </row>
    <row r="653" spans="1:13" x14ac:dyDescent="0.25">
      <c r="A653" s="40" t="s">
        <v>1055</v>
      </c>
      <c r="B653" s="29" t="s">
        <v>1</v>
      </c>
      <c r="C653" s="30" t="s">
        <v>212</v>
      </c>
      <c r="D653" s="31">
        <v>12</v>
      </c>
      <c r="E653" s="32" t="s">
        <v>36</v>
      </c>
      <c r="F653" s="31">
        <v>3250000</v>
      </c>
      <c r="G653" s="31">
        <f>ROUNDDOWN($D653*$F653,-3)</f>
        <v>39000000</v>
      </c>
      <c r="H653" s="31">
        <v>0</v>
      </c>
      <c r="I653" s="31">
        <f>SUMIF(dd_kuitansi[MAK],$A653,dd_kuitansi[Jumlah])</f>
        <v>0</v>
      </c>
      <c r="J653" s="31">
        <f>$G653-SUM($H653:$I653)</f>
        <v>39000000</v>
      </c>
    </row>
    <row r="654" spans="1:13" x14ac:dyDescent="0.25">
      <c r="A654" s="40" t="s">
        <v>1056</v>
      </c>
      <c r="B654" s="29" t="s">
        <v>1</v>
      </c>
      <c r="C654" s="30" t="s">
        <v>213</v>
      </c>
      <c r="D654" s="31">
        <v>16</v>
      </c>
      <c r="E654" s="32" t="s">
        <v>36</v>
      </c>
      <c r="F654" s="31">
        <v>3250000</v>
      </c>
      <c r="G654" s="31">
        <f>ROUNDDOWN($D654*$F654,-3)</f>
        <v>52000000</v>
      </c>
      <c r="H654" s="31">
        <v>0</v>
      </c>
      <c r="I654" s="31">
        <f>SUMIF(dd_kuitansi[MAK],$A654,dd_kuitansi[Jumlah])</f>
        <v>0</v>
      </c>
      <c r="J654" s="31">
        <f>$G654-SUM($H654:$I654)</f>
        <v>52000000</v>
      </c>
    </row>
    <row r="655" spans="1:13" s="9" customFormat="1" x14ac:dyDescent="0.25">
      <c r="A655" s="39" t="s">
        <v>1057</v>
      </c>
      <c r="B655" s="29" t="s">
        <v>1</v>
      </c>
      <c r="C655" s="30" t="s">
        <v>214</v>
      </c>
      <c r="D655" s="31">
        <v>10</v>
      </c>
      <c r="E655" s="32" t="s">
        <v>36</v>
      </c>
      <c r="F655" s="31">
        <v>4750000</v>
      </c>
      <c r="G655" s="31">
        <f>ROUNDDOWN($D655*$F655,-3)</f>
        <v>47500000</v>
      </c>
      <c r="H655" s="31">
        <v>0</v>
      </c>
      <c r="I655" s="31">
        <f>SUMIF(dd_kuitansi[MAK],$A655,dd_kuitansi[Jumlah])</f>
        <v>0</v>
      </c>
      <c r="J655" s="31">
        <f>$G655-SUM($H655:$I655)</f>
        <v>47500000</v>
      </c>
      <c r="M655" s="184"/>
    </row>
    <row r="656" spans="1:13" x14ac:dyDescent="0.25">
      <c r="A656" s="40" t="s">
        <v>621</v>
      </c>
      <c r="B656" s="17" t="s">
        <v>104</v>
      </c>
      <c r="C656" s="18" t="s">
        <v>105</v>
      </c>
      <c r="D656" s="19">
        <v>0</v>
      </c>
      <c r="E656" s="20" t="s">
        <v>1</v>
      </c>
      <c r="F656" s="19">
        <v>0</v>
      </c>
      <c r="G656" s="19">
        <f>G657</f>
        <v>3600000</v>
      </c>
      <c r="H656" s="19">
        <f>H657</f>
        <v>0</v>
      </c>
      <c r="I656" s="19">
        <f>I657</f>
        <v>0</v>
      </c>
      <c r="J656" s="19">
        <f>J657</f>
        <v>3600000</v>
      </c>
    </row>
    <row r="657" spans="1:13" s="9" customFormat="1" x14ac:dyDescent="0.25">
      <c r="A657" s="39" t="s">
        <v>1058</v>
      </c>
      <c r="B657" s="29" t="s">
        <v>1</v>
      </c>
      <c r="C657" s="30" t="s">
        <v>215</v>
      </c>
      <c r="D657" s="31">
        <v>24</v>
      </c>
      <c r="E657" s="32" t="s">
        <v>36</v>
      </c>
      <c r="F657" s="31">
        <v>150000</v>
      </c>
      <c r="G657" s="31">
        <f>ROUNDDOWN($D657*$F657,-3)</f>
        <v>3600000</v>
      </c>
      <c r="H657" s="31">
        <v>0</v>
      </c>
      <c r="I657" s="31">
        <f>SUMIF(dd_kuitansi[MAK],$A657,dd_kuitansi[Jumlah])</f>
        <v>0</v>
      </c>
      <c r="J657" s="31">
        <f>$G657-SUM($H657:$I657)</f>
        <v>3600000</v>
      </c>
      <c r="M657" s="184"/>
    </row>
    <row r="658" spans="1:13" x14ac:dyDescent="0.25">
      <c r="A658" s="40" t="s">
        <v>622</v>
      </c>
      <c r="B658" s="17" t="s">
        <v>54</v>
      </c>
      <c r="C658" s="18" t="s">
        <v>55</v>
      </c>
      <c r="D658" s="19">
        <v>0</v>
      </c>
      <c r="E658" s="20" t="s">
        <v>1</v>
      </c>
      <c r="F658" s="19">
        <v>0</v>
      </c>
      <c r="G658" s="31">
        <f>SUM(G659:G661)</f>
        <v>56000000</v>
      </c>
      <c r="H658" s="31">
        <f>SUM(H659:H661)</f>
        <v>0</v>
      </c>
      <c r="I658" s="31">
        <f>SUM(I659:I661)</f>
        <v>0</v>
      </c>
      <c r="J658" s="31">
        <f>SUM(J659:J661)</f>
        <v>56000000</v>
      </c>
    </row>
    <row r="659" spans="1:13" x14ac:dyDescent="0.25">
      <c r="A659" s="40" t="s">
        <v>1059</v>
      </c>
      <c r="B659" s="29" t="s">
        <v>1</v>
      </c>
      <c r="C659" s="30" t="s">
        <v>56</v>
      </c>
      <c r="D659" s="31">
        <v>40</v>
      </c>
      <c r="E659" s="32" t="s">
        <v>36</v>
      </c>
      <c r="F659" s="31">
        <v>300000</v>
      </c>
      <c r="G659" s="31">
        <f>ROUNDDOWN($D659*$F659,-3)</f>
        <v>12000000</v>
      </c>
      <c r="H659" s="31">
        <v>0</v>
      </c>
      <c r="I659" s="31">
        <f>SUMIF(dd_kuitansi[MAK],$A659,dd_kuitansi[Jumlah])</f>
        <v>0</v>
      </c>
      <c r="J659" s="31">
        <f>$G659-SUM($H659:$I659)</f>
        <v>12000000</v>
      </c>
    </row>
    <row r="660" spans="1:13" x14ac:dyDescent="0.25">
      <c r="A660" s="40" t="s">
        <v>1060</v>
      </c>
      <c r="B660" s="29" t="s">
        <v>1</v>
      </c>
      <c r="C660" s="30" t="s">
        <v>57</v>
      </c>
      <c r="D660" s="31">
        <v>152</v>
      </c>
      <c r="E660" s="32" t="s">
        <v>36</v>
      </c>
      <c r="F660" s="31">
        <v>250000</v>
      </c>
      <c r="G660" s="31">
        <f>ROUNDDOWN($D660*$F660,-3)</f>
        <v>38000000</v>
      </c>
      <c r="H660" s="31">
        <v>0</v>
      </c>
      <c r="I660" s="31">
        <f>SUMIF(dd_kuitansi[MAK],$A660,dd_kuitansi[Jumlah])</f>
        <v>0</v>
      </c>
      <c r="J660" s="31">
        <f>$G660-SUM($H660:$I660)</f>
        <v>38000000</v>
      </c>
    </row>
    <row r="661" spans="1:13" x14ac:dyDescent="0.25">
      <c r="A661" s="40" t="s">
        <v>1061</v>
      </c>
      <c r="B661" s="29" t="s">
        <v>1</v>
      </c>
      <c r="C661" s="30" t="s">
        <v>58</v>
      </c>
      <c r="D661" s="31">
        <v>30</v>
      </c>
      <c r="E661" s="32" t="s">
        <v>36</v>
      </c>
      <c r="F661" s="31">
        <v>200000</v>
      </c>
      <c r="G661" s="31">
        <f>ROUNDDOWN($D661*$F661,-3)</f>
        <v>6000000</v>
      </c>
      <c r="H661" s="31">
        <v>0</v>
      </c>
      <c r="I661" s="31">
        <f>SUMIF(dd_kuitansi[MAK],$A661,dd_kuitansi[Jumlah])</f>
        <v>0</v>
      </c>
      <c r="J661" s="31">
        <f>$G661-SUM($H661:$I661)</f>
        <v>6000000</v>
      </c>
    </row>
    <row r="662" spans="1:13" s="9" customFormat="1" x14ac:dyDescent="0.25">
      <c r="A662" s="39" t="s">
        <v>428</v>
      </c>
      <c r="B662" s="25" t="s">
        <v>17</v>
      </c>
      <c r="C662" s="26" t="s">
        <v>216</v>
      </c>
      <c r="D662" s="27">
        <v>0</v>
      </c>
      <c r="E662" s="28" t="s">
        <v>1</v>
      </c>
      <c r="F662" s="27">
        <v>0</v>
      </c>
      <c r="G662" s="27">
        <f>SUM(G663,G668,G670,G672,G674,G676,G678)</f>
        <v>140628000</v>
      </c>
      <c r="H662" s="27">
        <f>SUM(H663,H668,H670,H672,H674,H676,H678)</f>
        <v>0</v>
      </c>
      <c r="I662" s="27">
        <f>SUM(I663,I668,I670,I672,I674,I676,I678)</f>
        <v>0</v>
      </c>
      <c r="J662" s="27">
        <f>SUM(J663,J668,J670,J672,J674,J676,J678)</f>
        <v>140628000</v>
      </c>
      <c r="M662" s="184"/>
    </row>
    <row r="663" spans="1:13" x14ac:dyDescent="0.25">
      <c r="A663" s="40" t="s">
        <v>623</v>
      </c>
      <c r="B663" s="17" t="s">
        <v>33</v>
      </c>
      <c r="C663" s="18" t="s">
        <v>34</v>
      </c>
      <c r="D663" s="19">
        <v>0</v>
      </c>
      <c r="E663" s="20" t="s">
        <v>1</v>
      </c>
      <c r="F663" s="19">
        <v>0</v>
      </c>
      <c r="G663" s="19">
        <f>SUM(G664:G667)</f>
        <v>15728000</v>
      </c>
      <c r="H663" s="19">
        <f>SUM(H664:H667)</f>
        <v>0</v>
      </c>
      <c r="I663" s="19">
        <f>SUM(I664:I667)</f>
        <v>0</v>
      </c>
      <c r="J663" s="19">
        <f>SUM(J664:J667)</f>
        <v>15728000</v>
      </c>
    </row>
    <row r="664" spans="1:13" s="9" customFormat="1" x14ac:dyDescent="0.25">
      <c r="A664" s="39" t="s">
        <v>1062</v>
      </c>
      <c r="B664" s="29" t="s">
        <v>1</v>
      </c>
      <c r="C664" s="30" t="s">
        <v>35</v>
      </c>
      <c r="D664" s="31">
        <v>112</v>
      </c>
      <c r="E664" s="32" t="s">
        <v>36</v>
      </c>
      <c r="F664" s="31">
        <v>69000</v>
      </c>
      <c r="G664" s="31">
        <f>ROUNDDOWN($D664*$F664,-3)</f>
        <v>7728000</v>
      </c>
      <c r="H664" s="31">
        <v>0</v>
      </c>
      <c r="I664" s="31">
        <f>SUMIF(dd_kuitansi[MAK],$A664,dd_kuitansi[Jumlah])</f>
        <v>0</v>
      </c>
      <c r="J664" s="31">
        <f>$G664-SUM($H664:$I664)</f>
        <v>7728000</v>
      </c>
      <c r="M664" s="184"/>
    </row>
    <row r="665" spans="1:13" x14ac:dyDescent="0.25">
      <c r="A665" s="40" t="s">
        <v>1063</v>
      </c>
      <c r="B665" s="29" t="s">
        <v>1</v>
      </c>
      <c r="C665" s="30" t="s">
        <v>45</v>
      </c>
      <c r="D665" s="31">
        <v>2</v>
      </c>
      <c r="E665" s="32" t="s">
        <v>16</v>
      </c>
      <c r="F665" s="31">
        <v>1000000</v>
      </c>
      <c r="G665" s="31">
        <f>ROUNDDOWN($D665*$F665,-3)</f>
        <v>2000000</v>
      </c>
      <c r="H665" s="31">
        <v>0</v>
      </c>
      <c r="I665" s="31">
        <f>SUMIF(dd_kuitansi[MAK],$A665,dd_kuitansi[Jumlah])</f>
        <v>0</v>
      </c>
      <c r="J665" s="31">
        <f>$G665-SUM($H665:$I665)</f>
        <v>2000000</v>
      </c>
    </row>
    <row r="666" spans="1:13" x14ac:dyDescent="0.25">
      <c r="A666" s="40" t="s">
        <v>1064</v>
      </c>
      <c r="B666" s="29" t="s">
        <v>1</v>
      </c>
      <c r="C666" s="30" t="s">
        <v>43</v>
      </c>
      <c r="D666" s="31">
        <v>2</v>
      </c>
      <c r="E666" s="32" t="s">
        <v>16</v>
      </c>
      <c r="F666" s="31">
        <v>1500000</v>
      </c>
      <c r="G666" s="31">
        <f>ROUNDDOWN($D666*$F666,-3)</f>
        <v>3000000</v>
      </c>
      <c r="H666" s="31">
        <v>0</v>
      </c>
      <c r="I666" s="31">
        <f>SUMIF(dd_kuitansi[MAK],$A666,dd_kuitansi[Jumlah])</f>
        <v>0</v>
      </c>
      <c r="J666" s="31">
        <f>$G666-SUM($H666:$I666)</f>
        <v>3000000</v>
      </c>
    </row>
    <row r="667" spans="1:13" x14ac:dyDescent="0.25">
      <c r="A667" s="40" t="s">
        <v>1065</v>
      </c>
      <c r="B667" s="29" t="s">
        <v>1</v>
      </c>
      <c r="C667" s="30" t="s">
        <v>37</v>
      </c>
      <c r="D667" s="31">
        <v>2</v>
      </c>
      <c r="E667" s="32" t="s">
        <v>16</v>
      </c>
      <c r="F667" s="31">
        <v>1500000</v>
      </c>
      <c r="G667" s="31">
        <f>ROUNDDOWN($D667*$F667,-3)</f>
        <v>3000000</v>
      </c>
      <c r="H667" s="31">
        <v>0</v>
      </c>
      <c r="I667" s="31">
        <f>SUMIF(dd_kuitansi[MAK],$A667,dd_kuitansi[Jumlah])</f>
        <v>0</v>
      </c>
      <c r="J667" s="31">
        <f>$G667-SUM($H667:$I667)</f>
        <v>3000000</v>
      </c>
    </row>
    <row r="668" spans="1:13" s="9" customFormat="1" x14ac:dyDescent="0.25">
      <c r="A668" s="39" t="s">
        <v>624</v>
      </c>
      <c r="B668" s="17" t="s">
        <v>38</v>
      </c>
      <c r="C668" s="18" t="s">
        <v>39</v>
      </c>
      <c r="D668" s="19">
        <v>0</v>
      </c>
      <c r="E668" s="20" t="s">
        <v>1</v>
      </c>
      <c r="F668" s="19">
        <v>0</v>
      </c>
      <c r="G668" s="19">
        <f>G669</f>
        <v>24000000</v>
      </c>
      <c r="H668" s="19">
        <f>H669</f>
        <v>0</v>
      </c>
      <c r="I668" s="19">
        <f>I669</f>
        <v>0</v>
      </c>
      <c r="J668" s="19">
        <f>J669</f>
        <v>24000000</v>
      </c>
      <c r="M668" s="184"/>
    </row>
    <row r="669" spans="1:13" s="9" customFormat="1" x14ac:dyDescent="0.25">
      <c r="A669" s="39" t="s">
        <v>1066</v>
      </c>
      <c r="B669" s="29" t="s">
        <v>1</v>
      </c>
      <c r="C669" s="30" t="s">
        <v>217</v>
      </c>
      <c r="D669" s="31">
        <v>12</v>
      </c>
      <c r="E669" s="32" t="s">
        <v>218</v>
      </c>
      <c r="F669" s="31">
        <v>2000000</v>
      </c>
      <c r="G669" s="31">
        <f>ROUNDDOWN($D669*$F669,-3)</f>
        <v>24000000</v>
      </c>
      <c r="H669" s="31">
        <v>0</v>
      </c>
      <c r="I669" s="31">
        <f>SUMIF(dd_kuitansi[MAK],$A669,dd_kuitansi[Jumlah])</f>
        <v>0</v>
      </c>
      <c r="J669" s="31">
        <f>$G669-SUM($H669:$I669)</f>
        <v>24000000</v>
      </c>
      <c r="M669" s="184"/>
    </row>
    <row r="670" spans="1:13" x14ac:dyDescent="0.25">
      <c r="A670" s="40" t="s">
        <v>625</v>
      </c>
      <c r="B670" s="17" t="s">
        <v>219</v>
      </c>
      <c r="C670" s="18" t="s">
        <v>220</v>
      </c>
      <c r="D670" s="19">
        <v>0</v>
      </c>
      <c r="E670" s="20" t="s">
        <v>1</v>
      </c>
      <c r="F670" s="19">
        <v>0</v>
      </c>
      <c r="G670" s="19">
        <f>G671</f>
        <v>7500000</v>
      </c>
      <c r="H670" s="19">
        <f>H671</f>
        <v>0</v>
      </c>
      <c r="I670" s="19">
        <f>I671</f>
        <v>0</v>
      </c>
      <c r="J670" s="19">
        <f>J671</f>
        <v>7500000</v>
      </c>
    </row>
    <row r="671" spans="1:13" x14ac:dyDescent="0.25">
      <c r="A671" s="40" t="s">
        <v>1067</v>
      </c>
      <c r="B671" s="29" t="s">
        <v>1</v>
      </c>
      <c r="C671" s="30" t="s">
        <v>221</v>
      </c>
      <c r="D671" s="31">
        <v>3</v>
      </c>
      <c r="E671" s="32" t="s">
        <v>222</v>
      </c>
      <c r="F671" s="31">
        <v>2500000</v>
      </c>
      <c r="G671" s="31">
        <f>ROUNDDOWN($D671*$F671,-3)</f>
        <v>7500000</v>
      </c>
      <c r="H671" s="31">
        <v>0</v>
      </c>
      <c r="I671" s="31">
        <f>SUMIF(dd_kuitansi[MAK],$A671,dd_kuitansi[Jumlah])</f>
        <v>0</v>
      </c>
      <c r="J671" s="31">
        <f>$G671-SUM($H671:$I671)</f>
        <v>7500000</v>
      </c>
    </row>
    <row r="672" spans="1:13" x14ac:dyDescent="0.25">
      <c r="A672" s="40" t="s">
        <v>626</v>
      </c>
      <c r="B672" s="17" t="s">
        <v>46</v>
      </c>
      <c r="C672" s="18" t="s">
        <v>47</v>
      </c>
      <c r="D672" s="19">
        <v>0</v>
      </c>
      <c r="E672" s="20" t="s">
        <v>1</v>
      </c>
      <c r="F672" s="19">
        <v>0</v>
      </c>
      <c r="G672" s="19">
        <f>G673</f>
        <v>8000000</v>
      </c>
      <c r="H672" s="19">
        <f>H673</f>
        <v>0</v>
      </c>
      <c r="I672" s="19">
        <f>I673</f>
        <v>0</v>
      </c>
      <c r="J672" s="19">
        <f>J673</f>
        <v>8000000</v>
      </c>
    </row>
    <row r="673" spans="1:13" x14ac:dyDescent="0.25">
      <c r="A673" s="40" t="s">
        <v>1068</v>
      </c>
      <c r="B673" s="29" t="s">
        <v>1</v>
      </c>
      <c r="C673" s="30" t="s">
        <v>48</v>
      </c>
      <c r="D673" s="31">
        <v>8</v>
      </c>
      <c r="E673" s="32" t="s">
        <v>49</v>
      </c>
      <c r="F673" s="31">
        <v>1000000</v>
      </c>
      <c r="G673" s="31">
        <f>ROUNDDOWN($D673*$F673,-3)</f>
        <v>8000000</v>
      </c>
      <c r="H673" s="31">
        <v>0</v>
      </c>
      <c r="I673" s="31">
        <f>SUMIF(dd_kuitansi[MAK],$A673,dd_kuitansi[Jumlah])</f>
        <v>0</v>
      </c>
      <c r="J673" s="31">
        <f>$G673-SUM($H673:$I673)</f>
        <v>8000000</v>
      </c>
    </row>
    <row r="674" spans="1:13" s="9" customFormat="1" x14ac:dyDescent="0.25">
      <c r="A674" s="39" t="s">
        <v>627</v>
      </c>
      <c r="B674" s="17" t="s">
        <v>50</v>
      </c>
      <c r="C674" s="18" t="s">
        <v>51</v>
      </c>
      <c r="D674" s="19">
        <v>0</v>
      </c>
      <c r="E674" s="20" t="s">
        <v>1</v>
      </c>
      <c r="F674" s="19">
        <v>0</v>
      </c>
      <c r="G674" s="19">
        <f>G675</f>
        <v>38400000</v>
      </c>
      <c r="H674" s="19">
        <f>H675</f>
        <v>0</v>
      </c>
      <c r="I674" s="19">
        <f>I675</f>
        <v>0</v>
      </c>
      <c r="J674" s="19">
        <f>J675</f>
        <v>38400000</v>
      </c>
      <c r="M674" s="184"/>
    </row>
    <row r="675" spans="1:13" x14ac:dyDescent="0.25">
      <c r="A675" s="40" t="s">
        <v>1069</v>
      </c>
      <c r="B675" s="29" t="s">
        <v>1</v>
      </c>
      <c r="C675" s="30" t="s">
        <v>223</v>
      </c>
      <c r="D675" s="31">
        <v>12</v>
      </c>
      <c r="E675" s="32" t="s">
        <v>36</v>
      </c>
      <c r="F675" s="31">
        <v>3200000</v>
      </c>
      <c r="G675" s="31">
        <f>ROUNDDOWN($D675*$F675,-3)</f>
        <v>38400000</v>
      </c>
      <c r="H675" s="31">
        <v>0</v>
      </c>
      <c r="I675" s="31">
        <f>SUMIF(dd_kuitansi[MAK],$A675,dd_kuitansi[Jumlah])</f>
        <v>0</v>
      </c>
      <c r="J675" s="31">
        <f>$G675-SUM($H675:$I675)</f>
        <v>38400000</v>
      </c>
    </row>
    <row r="676" spans="1:13" s="9" customFormat="1" x14ac:dyDescent="0.25">
      <c r="A676" s="39" t="s">
        <v>628</v>
      </c>
      <c r="B676" s="17" t="s">
        <v>104</v>
      </c>
      <c r="C676" s="18" t="s">
        <v>105</v>
      </c>
      <c r="D676" s="19">
        <v>0</v>
      </c>
      <c r="E676" s="20" t="s">
        <v>1</v>
      </c>
      <c r="F676" s="19">
        <v>0</v>
      </c>
      <c r="G676" s="19">
        <f>G677</f>
        <v>3750000</v>
      </c>
      <c r="H676" s="19">
        <f>H677</f>
        <v>0</v>
      </c>
      <c r="I676" s="19">
        <f>I677</f>
        <v>0</v>
      </c>
      <c r="J676" s="19">
        <f>J677</f>
        <v>3750000</v>
      </c>
      <c r="M676" s="184"/>
    </row>
    <row r="677" spans="1:13" x14ac:dyDescent="0.25">
      <c r="A677" s="40" t="s">
        <v>1070</v>
      </c>
      <c r="B677" s="29" t="s">
        <v>1</v>
      </c>
      <c r="C677" s="30" t="s">
        <v>224</v>
      </c>
      <c r="D677" s="31">
        <v>25</v>
      </c>
      <c r="E677" s="32" t="s">
        <v>36</v>
      </c>
      <c r="F677" s="31">
        <v>150000</v>
      </c>
      <c r="G677" s="31">
        <f>ROUNDDOWN($D677*$F677,-3)</f>
        <v>3750000</v>
      </c>
      <c r="H677" s="31">
        <v>0</v>
      </c>
      <c r="I677" s="31">
        <f>SUMIF(dd_kuitansi[MAK],$A677,dd_kuitansi[Jumlah])</f>
        <v>0</v>
      </c>
      <c r="J677" s="31">
        <f>$G677-SUM($H677:$I677)</f>
        <v>3750000</v>
      </c>
    </row>
    <row r="678" spans="1:13" s="9" customFormat="1" x14ac:dyDescent="0.25">
      <c r="A678" s="39" t="s">
        <v>629</v>
      </c>
      <c r="B678" s="17" t="s">
        <v>54</v>
      </c>
      <c r="C678" s="18" t="s">
        <v>55</v>
      </c>
      <c r="D678" s="19">
        <v>0</v>
      </c>
      <c r="E678" s="20" t="s">
        <v>1</v>
      </c>
      <c r="F678" s="19">
        <v>0</v>
      </c>
      <c r="G678" s="19">
        <f>G679</f>
        <v>43250000</v>
      </c>
      <c r="H678" s="19">
        <f>H679</f>
        <v>0</v>
      </c>
      <c r="I678" s="19">
        <f>I679</f>
        <v>0</v>
      </c>
      <c r="J678" s="19">
        <f>J679</f>
        <v>43250000</v>
      </c>
      <c r="M678" s="184"/>
    </row>
    <row r="679" spans="1:13" x14ac:dyDescent="0.25">
      <c r="A679" s="40"/>
      <c r="B679" s="29" t="s">
        <v>1</v>
      </c>
      <c r="C679" s="33" t="s">
        <v>90</v>
      </c>
      <c r="D679" s="31">
        <v>0</v>
      </c>
      <c r="E679" s="32" t="s">
        <v>1</v>
      </c>
      <c r="F679" s="31">
        <v>0</v>
      </c>
      <c r="G679" s="31">
        <f>SUM(G680:G682)</f>
        <v>43250000</v>
      </c>
      <c r="H679" s="31">
        <f>SUM(H680:H682)</f>
        <v>0</v>
      </c>
      <c r="I679" s="31">
        <f>SUM(I680:I682)</f>
        <v>0</v>
      </c>
      <c r="J679" s="31">
        <f>SUM(J680:J682)</f>
        <v>43250000</v>
      </c>
    </row>
    <row r="680" spans="1:13" s="9" customFormat="1" x14ac:dyDescent="0.25">
      <c r="A680" s="39" t="s">
        <v>1071</v>
      </c>
      <c r="B680" s="29" t="s">
        <v>1</v>
      </c>
      <c r="C680" s="30" t="s">
        <v>56</v>
      </c>
      <c r="D680" s="31">
        <v>30</v>
      </c>
      <c r="E680" s="32" t="s">
        <v>36</v>
      </c>
      <c r="F680" s="31">
        <v>300000</v>
      </c>
      <c r="G680" s="31">
        <f>ROUNDDOWN($D680*$F680,-3)</f>
        <v>9000000</v>
      </c>
      <c r="H680" s="31">
        <v>0</v>
      </c>
      <c r="I680" s="31">
        <f>SUMIF(dd_kuitansi[MAK],$A680,dd_kuitansi[Jumlah])</f>
        <v>0</v>
      </c>
      <c r="J680" s="31">
        <f>$G680-SUM($H680:$I680)</f>
        <v>9000000</v>
      </c>
      <c r="M680" s="184"/>
    </row>
    <row r="681" spans="1:13" x14ac:dyDescent="0.25">
      <c r="A681" s="40" t="s">
        <v>1072</v>
      </c>
      <c r="B681" s="29" t="s">
        <v>1</v>
      </c>
      <c r="C681" s="30" t="s">
        <v>57</v>
      </c>
      <c r="D681" s="31">
        <v>113</v>
      </c>
      <c r="E681" s="32" t="s">
        <v>36</v>
      </c>
      <c r="F681" s="31">
        <v>250000</v>
      </c>
      <c r="G681" s="31">
        <f>ROUNDDOWN($D681*$F681,-3)</f>
        <v>28250000</v>
      </c>
      <c r="H681" s="31">
        <v>0</v>
      </c>
      <c r="I681" s="31">
        <f>SUMIF(dd_kuitansi[MAK],$A681,dd_kuitansi[Jumlah])</f>
        <v>0</v>
      </c>
      <c r="J681" s="31">
        <f>$G681-SUM($H681:$I681)</f>
        <v>28250000</v>
      </c>
    </row>
    <row r="682" spans="1:13" s="9" customFormat="1" x14ac:dyDescent="0.25">
      <c r="A682" s="39" t="s">
        <v>1073</v>
      </c>
      <c r="B682" s="29" t="s">
        <v>1</v>
      </c>
      <c r="C682" s="30" t="s">
        <v>58</v>
      </c>
      <c r="D682" s="31">
        <v>30</v>
      </c>
      <c r="E682" s="32" t="s">
        <v>36</v>
      </c>
      <c r="F682" s="31">
        <v>200000</v>
      </c>
      <c r="G682" s="31">
        <f>ROUNDDOWN($D682*$F682,-3)</f>
        <v>6000000</v>
      </c>
      <c r="H682" s="31">
        <v>0</v>
      </c>
      <c r="I682" s="31">
        <f>SUMIF(dd_kuitansi[MAK],$A682,dd_kuitansi[Jumlah])</f>
        <v>0</v>
      </c>
      <c r="J682" s="31">
        <f>$G682-SUM($H682:$I682)</f>
        <v>6000000</v>
      </c>
      <c r="M682" s="184"/>
    </row>
    <row r="683" spans="1:13" x14ac:dyDescent="0.25">
      <c r="A683" s="40" t="s">
        <v>429</v>
      </c>
      <c r="B683" s="25" t="s">
        <v>65</v>
      </c>
      <c r="C683" s="26" t="s">
        <v>225</v>
      </c>
      <c r="D683" s="27">
        <v>0</v>
      </c>
      <c r="E683" s="28" t="s">
        <v>1</v>
      </c>
      <c r="F683" s="27">
        <v>0</v>
      </c>
      <c r="G683" s="27">
        <f>G684</f>
        <v>618938000</v>
      </c>
      <c r="H683" s="27">
        <f>H684</f>
        <v>0</v>
      </c>
      <c r="I683" s="27">
        <f>I684</f>
        <v>0</v>
      </c>
      <c r="J683" s="27">
        <f>J684</f>
        <v>618938000</v>
      </c>
    </row>
    <row r="684" spans="1:13" s="9" customFormat="1" x14ac:dyDescent="0.25">
      <c r="A684" s="39" t="s">
        <v>630</v>
      </c>
      <c r="B684" s="17" t="s">
        <v>50</v>
      </c>
      <c r="C684" s="18" t="s">
        <v>51</v>
      </c>
      <c r="D684" s="19">
        <v>0</v>
      </c>
      <c r="E684" s="20" t="s">
        <v>1</v>
      </c>
      <c r="F684" s="19">
        <v>0</v>
      </c>
      <c r="G684" s="31">
        <f>SUM(G685:G687)</f>
        <v>618938000</v>
      </c>
      <c r="H684" s="31">
        <f>SUM(H685:H687)</f>
        <v>0</v>
      </c>
      <c r="I684" s="31">
        <f>SUM(I685:I687)</f>
        <v>0</v>
      </c>
      <c r="J684" s="31">
        <f>SUM(J685:J687)</f>
        <v>618938000</v>
      </c>
      <c r="M684" s="184"/>
    </row>
    <row r="685" spans="1:13" x14ac:dyDescent="0.25">
      <c r="A685" s="40" t="s">
        <v>1074</v>
      </c>
      <c r="B685" s="29" t="s">
        <v>1</v>
      </c>
      <c r="C685" s="30" t="s">
        <v>226</v>
      </c>
      <c r="D685" s="31">
        <v>60</v>
      </c>
      <c r="E685" s="32" t="s">
        <v>36</v>
      </c>
      <c r="F685" s="31">
        <v>6500000</v>
      </c>
      <c r="G685" s="31">
        <f>ROUNDDOWN($D685*$F685,-3)</f>
        <v>390000000</v>
      </c>
      <c r="H685" s="31">
        <v>0</v>
      </c>
      <c r="I685" s="31">
        <f>SUMIF(dd_kuitansi[MAK],$A685,dd_kuitansi[Jumlah])</f>
        <v>0</v>
      </c>
      <c r="J685" s="31">
        <f>$G685-SUM($H685:$I685)</f>
        <v>390000000</v>
      </c>
    </row>
    <row r="686" spans="1:13" x14ac:dyDescent="0.25">
      <c r="A686" s="40" t="s">
        <v>1075</v>
      </c>
      <c r="B686" s="29" t="s">
        <v>1</v>
      </c>
      <c r="C686" s="30" t="s">
        <v>227</v>
      </c>
      <c r="D686" s="31">
        <v>28</v>
      </c>
      <c r="E686" s="32" t="s">
        <v>36</v>
      </c>
      <c r="F686" s="31">
        <v>5500000</v>
      </c>
      <c r="G686" s="31">
        <f>ROUNDDOWN($D686*$F686,-3)</f>
        <v>154000000</v>
      </c>
      <c r="H686" s="31">
        <v>0</v>
      </c>
      <c r="I686" s="31">
        <f>SUMIF(dd_kuitansi[MAK],$A686,dd_kuitansi[Jumlah])</f>
        <v>0</v>
      </c>
      <c r="J686" s="31">
        <f>$G686-SUM($H686:$I686)</f>
        <v>154000000</v>
      </c>
    </row>
    <row r="687" spans="1:13" x14ac:dyDescent="0.25">
      <c r="A687" s="40" t="s">
        <v>1076</v>
      </c>
      <c r="B687" s="29" t="s">
        <v>1</v>
      </c>
      <c r="C687" s="30" t="s">
        <v>228</v>
      </c>
      <c r="D687" s="31">
        <v>12</v>
      </c>
      <c r="E687" s="32" t="s">
        <v>36</v>
      </c>
      <c r="F687" s="31">
        <v>6244835</v>
      </c>
      <c r="G687" s="31">
        <f>ROUNDDOWN($D687*$F687,-3)</f>
        <v>74938000</v>
      </c>
      <c r="H687" s="31">
        <v>0</v>
      </c>
      <c r="I687" s="31">
        <f>SUMIF(dd_kuitansi[MAK],$A687,dd_kuitansi[Jumlah])</f>
        <v>0</v>
      </c>
      <c r="J687" s="31">
        <f>$G687-SUM($H687:$I687)</f>
        <v>74938000</v>
      </c>
    </row>
    <row r="688" spans="1:13" ht="25.5" x14ac:dyDescent="0.25">
      <c r="A688" s="40" t="s">
        <v>430</v>
      </c>
      <c r="B688" s="25" t="s">
        <v>68</v>
      </c>
      <c r="C688" s="26" t="s">
        <v>229</v>
      </c>
      <c r="D688" s="27">
        <v>0</v>
      </c>
      <c r="E688" s="28" t="s">
        <v>1</v>
      </c>
      <c r="F688" s="27">
        <v>0</v>
      </c>
      <c r="G688" s="27">
        <f>SUM(G689,G694,G696,G699,G701)</f>
        <v>165880000</v>
      </c>
      <c r="H688" s="27">
        <f>SUM(H689,H694,H696,H699,H701)</f>
        <v>0</v>
      </c>
      <c r="I688" s="27">
        <f>SUM(I689,I694,I696,I699,I701)</f>
        <v>0</v>
      </c>
      <c r="J688" s="27">
        <f>SUM(J689,J694,J696,J699,J701)</f>
        <v>165880000</v>
      </c>
    </row>
    <row r="689" spans="1:13" s="9" customFormat="1" x14ac:dyDescent="0.25">
      <c r="A689" s="39" t="s">
        <v>631</v>
      </c>
      <c r="B689" s="17" t="s">
        <v>33</v>
      </c>
      <c r="C689" s="18" t="s">
        <v>34</v>
      </c>
      <c r="D689" s="19">
        <v>0</v>
      </c>
      <c r="E689" s="20" t="s">
        <v>1</v>
      </c>
      <c r="F689" s="19">
        <v>0</v>
      </c>
      <c r="G689" s="19">
        <f>SUM(G690:G693)</f>
        <v>16280000</v>
      </c>
      <c r="H689" s="19">
        <f>SUM(H690:H693)</f>
        <v>0</v>
      </c>
      <c r="I689" s="19">
        <f>SUM(I690:I693)</f>
        <v>0</v>
      </c>
      <c r="J689" s="19">
        <f>SUM(J690:J693)</f>
        <v>16280000</v>
      </c>
      <c r="M689" s="184"/>
    </row>
    <row r="690" spans="1:13" s="9" customFormat="1" x14ac:dyDescent="0.25">
      <c r="A690" s="39" t="s">
        <v>1077</v>
      </c>
      <c r="B690" s="29" t="s">
        <v>1</v>
      </c>
      <c r="C690" s="30" t="s">
        <v>35</v>
      </c>
      <c r="D690" s="31">
        <v>120</v>
      </c>
      <c r="E690" s="32" t="s">
        <v>36</v>
      </c>
      <c r="F690" s="31">
        <v>69000</v>
      </c>
      <c r="G690" s="31">
        <f>ROUNDDOWN($D690*$F690,-3)</f>
        <v>8280000</v>
      </c>
      <c r="H690" s="31">
        <v>0</v>
      </c>
      <c r="I690" s="31">
        <f>SUMIF(dd_kuitansi[MAK],$A690,dd_kuitansi[Jumlah])</f>
        <v>0</v>
      </c>
      <c r="J690" s="31">
        <f>$G690-SUM($H690:$I690)</f>
        <v>8280000</v>
      </c>
      <c r="M690" s="184"/>
    </row>
    <row r="691" spans="1:13" x14ac:dyDescent="0.25">
      <c r="A691" s="40" t="s">
        <v>1078</v>
      </c>
      <c r="B691" s="29" t="s">
        <v>1</v>
      </c>
      <c r="C691" s="30" t="s">
        <v>37</v>
      </c>
      <c r="D691" s="31">
        <v>2</v>
      </c>
      <c r="E691" s="32" t="s">
        <v>16</v>
      </c>
      <c r="F691" s="31">
        <v>1500000</v>
      </c>
      <c r="G691" s="31">
        <f>ROUNDDOWN($D691*$F691,-3)</f>
        <v>3000000</v>
      </c>
      <c r="H691" s="31">
        <v>0</v>
      </c>
      <c r="I691" s="31">
        <f>SUMIF(dd_kuitansi[MAK],$A691,dd_kuitansi[Jumlah])</f>
        <v>0</v>
      </c>
      <c r="J691" s="31">
        <f>$G691-SUM($H691:$I691)</f>
        <v>3000000</v>
      </c>
    </row>
    <row r="692" spans="1:13" x14ac:dyDescent="0.25">
      <c r="A692" s="40" t="s">
        <v>1079</v>
      </c>
      <c r="B692" s="29" t="s">
        <v>1</v>
      </c>
      <c r="C692" s="30" t="s">
        <v>45</v>
      </c>
      <c r="D692" s="31">
        <v>2</v>
      </c>
      <c r="E692" s="32" t="s">
        <v>16</v>
      </c>
      <c r="F692" s="31">
        <v>1000000</v>
      </c>
      <c r="G692" s="31">
        <f>ROUNDDOWN($D692*$F692,-3)</f>
        <v>2000000</v>
      </c>
      <c r="H692" s="31">
        <v>0</v>
      </c>
      <c r="I692" s="31">
        <f>SUMIF(dd_kuitansi[MAK],$A692,dd_kuitansi[Jumlah])</f>
        <v>0</v>
      </c>
      <c r="J692" s="31">
        <f>$G692-SUM($H692:$I692)</f>
        <v>2000000</v>
      </c>
    </row>
    <row r="693" spans="1:13" x14ac:dyDescent="0.25">
      <c r="A693" s="40" t="s">
        <v>1080</v>
      </c>
      <c r="B693" s="29" t="s">
        <v>1</v>
      </c>
      <c r="C693" s="30" t="s">
        <v>43</v>
      </c>
      <c r="D693" s="31">
        <v>2</v>
      </c>
      <c r="E693" s="32" t="s">
        <v>16</v>
      </c>
      <c r="F693" s="31">
        <v>1500000</v>
      </c>
      <c r="G693" s="31">
        <f>ROUNDDOWN($D693*$F693,-3)</f>
        <v>3000000</v>
      </c>
      <c r="H693" s="31">
        <v>0</v>
      </c>
      <c r="I693" s="31">
        <f>SUMIF(dd_kuitansi[MAK],$A693,dd_kuitansi[Jumlah])</f>
        <v>0</v>
      </c>
      <c r="J693" s="31">
        <f>$G693-SUM($H693:$I693)</f>
        <v>3000000</v>
      </c>
    </row>
    <row r="694" spans="1:13" s="9" customFormat="1" x14ac:dyDescent="0.25">
      <c r="A694" s="39" t="s">
        <v>632</v>
      </c>
      <c r="B694" s="17" t="s">
        <v>46</v>
      </c>
      <c r="C694" s="18" t="s">
        <v>47</v>
      </c>
      <c r="D694" s="19">
        <v>0</v>
      </c>
      <c r="E694" s="20" t="s">
        <v>1</v>
      </c>
      <c r="F694" s="19">
        <v>0</v>
      </c>
      <c r="G694" s="19">
        <f>G695</f>
        <v>10000000</v>
      </c>
      <c r="H694" s="19">
        <f>H695</f>
        <v>0</v>
      </c>
      <c r="I694" s="19">
        <f>I695</f>
        <v>0</v>
      </c>
      <c r="J694" s="19">
        <f>J695</f>
        <v>10000000</v>
      </c>
      <c r="M694" s="184"/>
    </row>
    <row r="695" spans="1:13" s="9" customFormat="1" x14ac:dyDescent="0.25">
      <c r="A695" s="39" t="s">
        <v>1081</v>
      </c>
      <c r="B695" s="29" t="s">
        <v>1</v>
      </c>
      <c r="C695" s="30" t="s">
        <v>48</v>
      </c>
      <c r="D695" s="31">
        <v>10</v>
      </c>
      <c r="E695" s="32" t="s">
        <v>49</v>
      </c>
      <c r="F695" s="31">
        <v>1000000</v>
      </c>
      <c r="G695" s="31">
        <f>ROUNDDOWN($D695*$F695,-3)</f>
        <v>10000000</v>
      </c>
      <c r="H695" s="31">
        <v>0</v>
      </c>
      <c r="I695" s="31">
        <f>SUMIF(dd_kuitansi[MAK],$A695,dd_kuitansi[Jumlah])</f>
        <v>0</v>
      </c>
      <c r="J695" s="31">
        <f>$G695-SUM($H695:$I695)</f>
        <v>10000000</v>
      </c>
      <c r="M695" s="184"/>
    </row>
    <row r="696" spans="1:13" x14ac:dyDescent="0.25">
      <c r="A696" s="40" t="s">
        <v>633</v>
      </c>
      <c r="B696" s="17" t="s">
        <v>50</v>
      </c>
      <c r="C696" s="18" t="s">
        <v>51</v>
      </c>
      <c r="D696" s="19">
        <v>0</v>
      </c>
      <c r="E696" s="20" t="s">
        <v>1</v>
      </c>
      <c r="F696" s="19">
        <v>0</v>
      </c>
      <c r="G696" s="19">
        <f>SUM(G697:G698)</f>
        <v>95200000</v>
      </c>
      <c r="H696" s="19">
        <f>SUM(H697:H698)</f>
        <v>0</v>
      </c>
      <c r="I696" s="19">
        <f>SUM(I697:I698)</f>
        <v>0</v>
      </c>
      <c r="J696" s="19">
        <f>SUM(J697:J698)</f>
        <v>95200000</v>
      </c>
    </row>
    <row r="697" spans="1:13" x14ac:dyDescent="0.25">
      <c r="A697" s="40" t="s">
        <v>1082</v>
      </c>
      <c r="B697" s="29" t="s">
        <v>1</v>
      </c>
      <c r="C697" s="30" t="s">
        <v>230</v>
      </c>
      <c r="D697" s="31">
        <v>12</v>
      </c>
      <c r="E697" s="32" t="s">
        <v>36</v>
      </c>
      <c r="F697" s="31">
        <v>3750000</v>
      </c>
      <c r="G697" s="31">
        <f>ROUNDDOWN($D697*$F697,-3)</f>
        <v>45000000</v>
      </c>
      <c r="H697" s="31">
        <v>0</v>
      </c>
      <c r="I697" s="31">
        <f>SUMIF(dd_kuitansi[MAK],$A697,dd_kuitansi[Jumlah])</f>
        <v>0</v>
      </c>
      <c r="J697" s="31">
        <f>$G697-SUM($H697:$I697)</f>
        <v>45000000</v>
      </c>
    </row>
    <row r="698" spans="1:13" x14ac:dyDescent="0.25">
      <c r="A698" s="40" t="s">
        <v>1083</v>
      </c>
      <c r="B698" s="29" t="s">
        <v>1</v>
      </c>
      <c r="C698" s="30" t="s">
        <v>231</v>
      </c>
      <c r="D698" s="31">
        <v>10</v>
      </c>
      <c r="E698" s="32" t="s">
        <v>36</v>
      </c>
      <c r="F698" s="31">
        <v>5020000</v>
      </c>
      <c r="G698" s="31">
        <f>ROUNDDOWN($D698*$F698,-3)</f>
        <v>50200000</v>
      </c>
      <c r="H698" s="31">
        <v>0</v>
      </c>
      <c r="I698" s="31">
        <f>SUMIF(dd_kuitansi[MAK],$A698,dd_kuitansi[Jumlah])</f>
        <v>0</v>
      </c>
      <c r="J698" s="31">
        <f>$G698-SUM($H698:$I698)</f>
        <v>50200000</v>
      </c>
    </row>
    <row r="699" spans="1:13" x14ac:dyDescent="0.25">
      <c r="A699" s="40" t="s">
        <v>634</v>
      </c>
      <c r="B699" s="17" t="s">
        <v>104</v>
      </c>
      <c r="C699" s="18" t="s">
        <v>105</v>
      </c>
      <c r="D699" s="19">
        <v>0</v>
      </c>
      <c r="E699" s="20" t="s">
        <v>1</v>
      </c>
      <c r="F699" s="19">
        <v>0</v>
      </c>
      <c r="G699" s="19">
        <f>G700</f>
        <v>2400000</v>
      </c>
      <c r="H699" s="19">
        <f>H700</f>
        <v>0</v>
      </c>
      <c r="I699" s="19">
        <f>I700</f>
        <v>0</v>
      </c>
      <c r="J699" s="19">
        <f>J700</f>
        <v>2400000</v>
      </c>
    </row>
    <row r="700" spans="1:13" s="9" customFormat="1" x14ac:dyDescent="0.25">
      <c r="A700" s="39" t="s">
        <v>1084</v>
      </c>
      <c r="B700" s="29" t="s">
        <v>1</v>
      </c>
      <c r="C700" s="30" t="s">
        <v>224</v>
      </c>
      <c r="D700" s="31">
        <v>16</v>
      </c>
      <c r="E700" s="32" t="s">
        <v>36</v>
      </c>
      <c r="F700" s="31">
        <v>150000</v>
      </c>
      <c r="G700" s="31">
        <f>ROUNDDOWN($D700*$F700,-3)</f>
        <v>2400000</v>
      </c>
      <c r="H700" s="31">
        <v>0</v>
      </c>
      <c r="I700" s="31">
        <f>SUMIF(dd_kuitansi[MAK],$A700,dd_kuitansi[Jumlah])</f>
        <v>0</v>
      </c>
      <c r="J700" s="31">
        <f>$G700-SUM($H700:$I700)</f>
        <v>2400000</v>
      </c>
      <c r="M700" s="184"/>
    </row>
    <row r="701" spans="1:13" x14ac:dyDescent="0.25">
      <c r="A701" s="40" t="s">
        <v>635</v>
      </c>
      <c r="B701" s="17" t="s">
        <v>54</v>
      </c>
      <c r="C701" s="18" t="s">
        <v>55</v>
      </c>
      <c r="D701" s="19">
        <v>0</v>
      </c>
      <c r="E701" s="20" t="s">
        <v>1</v>
      </c>
      <c r="F701" s="19">
        <v>0</v>
      </c>
      <c r="G701" s="19">
        <f>G702</f>
        <v>42000000</v>
      </c>
      <c r="H701" s="19">
        <f>H702</f>
        <v>0</v>
      </c>
      <c r="I701" s="19">
        <f>I702</f>
        <v>0</v>
      </c>
      <c r="J701" s="19">
        <f>J702</f>
        <v>42000000</v>
      </c>
    </row>
    <row r="702" spans="1:13" s="9" customFormat="1" x14ac:dyDescent="0.25">
      <c r="A702" s="39"/>
      <c r="B702" s="29" t="s">
        <v>1</v>
      </c>
      <c r="C702" s="33" t="s">
        <v>90</v>
      </c>
      <c r="D702" s="31">
        <v>0</v>
      </c>
      <c r="E702" s="32" t="s">
        <v>1</v>
      </c>
      <c r="F702" s="31">
        <v>0</v>
      </c>
      <c r="G702" s="31">
        <f>SUM(G703:G705)</f>
        <v>42000000</v>
      </c>
      <c r="H702" s="31">
        <f>SUM(H703:H705)</f>
        <v>0</v>
      </c>
      <c r="I702" s="31">
        <f>SUM(I703:I705)</f>
        <v>0</v>
      </c>
      <c r="J702" s="31">
        <f>SUM(J703:J705)</f>
        <v>42000000</v>
      </c>
      <c r="M702" s="184"/>
    </row>
    <row r="703" spans="1:13" x14ac:dyDescent="0.25">
      <c r="A703" s="40" t="s">
        <v>1085</v>
      </c>
      <c r="B703" s="29" t="s">
        <v>1</v>
      </c>
      <c r="C703" s="30" t="s">
        <v>56</v>
      </c>
      <c r="D703" s="31">
        <v>30</v>
      </c>
      <c r="E703" s="32" t="s">
        <v>36</v>
      </c>
      <c r="F703" s="31">
        <v>300000</v>
      </c>
      <c r="G703" s="31">
        <f>ROUNDDOWN($D703*$F703,-3)</f>
        <v>9000000</v>
      </c>
      <c r="H703" s="31">
        <v>0</v>
      </c>
      <c r="I703" s="31">
        <f>SUMIF(dd_kuitansi[MAK],$A703,dd_kuitansi[Jumlah])</f>
        <v>0</v>
      </c>
      <c r="J703" s="31">
        <f>$G703-SUM($H703:$I703)</f>
        <v>9000000</v>
      </c>
    </row>
    <row r="704" spans="1:13" x14ac:dyDescent="0.25">
      <c r="A704" s="40" t="s">
        <v>1086</v>
      </c>
      <c r="B704" s="29" t="s">
        <v>1</v>
      </c>
      <c r="C704" s="30" t="s">
        <v>57</v>
      </c>
      <c r="D704" s="31">
        <v>108</v>
      </c>
      <c r="E704" s="32" t="s">
        <v>36</v>
      </c>
      <c r="F704" s="31">
        <v>250000</v>
      </c>
      <c r="G704" s="31">
        <f>ROUNDDOWN($D704*$F704,-3)</f>
        <v>27000000</v>
      </c>
      <c r="H704" s="31">
        <v>0</v>
      </c>
      <c r="I704" s="31">
        <f>SUMIF(dd_kuitansi[MAK],$A704,dd_kuitansi[Jumlah])</f>
        <v>0</v>
      </c>
      <c r="J704" s="31">
        <f>$G704-SUM($H704:$I704)</f>
        <v>27000000</v>
      </c>
    </row>
    <row r="705" spans="1:13" s="9" customFormat="1" x14ac:dyDescent="0.25">
      <c r="A705" s="39" t="s">
        <v>1087</v>
      </c>
      <c r="B705" s="29" t="s">
        <v>1</v>
      </c>
      <c r="C705" s="30" t="s">
        <v>58</v>
      </c>
      <c r="D705" s="31">
        <v>30</v>
      </c>
      <c r="E705" s="32" t="s">
        <v>36</v>
      </c>
      <c r="F705" s="31">
        <v>200000</v>
      </c>
      <c r="G705" s="31">
        <f>ROUNDDOWN($D705*$F705,-3)</f>
        <v>6000000</v>
      </c>
      <c r="H705" s="31">
        <v>0</v>
      </c>
      <c r="I705" s="31">
        <f>SUMIF(dd_kuitansi[MAK],$A705,dd_kuitansi[Jumlah])</f>
        <v>0</v>
      </c>
      <c r="J705" s="31">
        <f>$G705-SUM($H705:$I705)</f>
        <v>6000000</v>
      </c>
      <c r="M705" s="184"/>
    </row>
    <row r="706" spans="1:13" ht="25.5" x14ac:dyDescent="0.25">
      <c r="A706" s="40" t="s">
        <v>431</v>
      </c>
      <c r="B706" s="25" t="s">
        <v>98</v>
      </c>
      <c r="C706" s="26" t="s">
        <v>232</v>
      </c>
      <c r="D706" s="27">
        <v>0</v>
      </c>
      <c r="E706" s="28" t="s">
        <v>1</v>
      </c>
      <c r="F706" s="27">
        <v>0</v>
      </c>
      <c r="G706" s="27">
        <f>SUM(G707,G712,G714,G718,G720)</f>
        <v>168530000</v>
      </c>
      <c r="H706" s="27">
        <f>SUM(H707,H712,H714,H718,H720)</f>
        <v>0</v>
      </c>
      <c r="I706" s="27">
        <f>SUM(I707,I712,I714,I718,I720)</f>
        <v>0</v>
      </c>
      <c r="J706" s="27">
        <f>SUM(J707,J712,J714,J718,J720)</f>
        <v>168530000</v>
      </c>
    </row>
    <row r="707" spans="1:13" s="9" customFormat="1" x14ac:dyDescent="0.25">
      <c r="A707" s="39" t="s">
        <v>636</v>
      </c>
      <c r="B707" s="17" t="s">
        <v>33</v>
      </c>
      <c r="C707" s="18" t="s">
        <v>34</v>
      </c>
      <c r="D707" s="19">
        <v>0</v>
      </c>
      <c r="E707" s="20" t="s">
        <v>1</v>
      </c>
      <c r="F707" s="19">
        <v>0</v>
      </c>
      <c r="G707" s="19">
        <f>SUM(G708:G711)</f>
        <v>23350000</v>
      </c>
      <c r="H707" s="19">
        <f>SUM(H708:H711)</f>
        <v>0</v>
      </c>
      <c r="I707" s="19">
        <f>SUM(I708:I711)</f>
        <v>0</v>
      </c>
      <c r="J707" s="19">
        <f>SUM(J708:J711)</f>
        <v>23350000</v>
      </c>
      <c r="M707" s="184"/>
    </row>
    <row r="708" spans="1:13" x14ac:dyDescent="0.25">
      <c r="A708" s="40" t="s">
        <v>1088</v>
      </c>
      <c r="B708" s="29" t="s">
        <v>1</v>
      </c>
      <c r="C708" s="30" t="s">
        <v>35</v>
      </c>
      <c r="D708" s="31">
        <v>150</v>
      </c>
      <c r="E708" s="32" t="s">
        <v>36</v>
      </c>
      <c r="F708" s="31">
        <v>69000</v>
      </c>
      <c r="G708" s="31">
        <f>ROUNDDOWN($D708*$F708,-3)</f>
        <v>10350000</v>
      </c>
      <c r="H708" s="31">
        <v>0</v>
      </c>
      <c r="I708" s="31">
        <f>SUMIF(dd_kuitansi[MAK],$A708,dd_kuitansi[Jumlah])</f>
        <v>0</v>
      </c>
      <c r="J708" s="31">
        <f>$G708-SUM($H708:$I708)</f>
        <v>10350000</v>
      </c>
    </row>
    <row r="709" spans="1:13" x14ac:dyDescent="0.25">
      <c r="A709" s="40" t="s">
        <v>1089</v>
      </c>
      <c r="B709" s="29" t="s">
        <v>1</v>
      </c>
      <c r="C709" s="30" t="s">
        <v>37</v>
      </c>
      <c r="D709" s="31">
        <v>2</v>
      </c>
      <c r="E709" s="32" t="s">
        <v>16</v>
      </c>
      <c r="F709" s="31">
        <v>1500000</v>
      </c>
      <c r="G709" s="31">
        <f>ROUNDDOWN($D709*$F709,-3)</f>
        <v>3000000</v>
      </c>
      <c r="H709" s="31">
        <v>0</v>
      </c>
      <c r="I709" s="31">
        <f>SUMIF(dd_kuitansi[MAK],$A709,dd_kuitansi[Jumlah])</f>
        <v>0</v>
      </c>
      <c r="J709" s="31">
        <f>$G709-SUM($H709:$I709)</f>
        <v>3000000</v>
      </c>
    </row>
    <row r="710" spans="1:13" x14ac:dyDescent="0.25">
      <c r="A710" s="40" t="s">
        <v>1090</v>
      </c>
      <c r="B710" s="29" t="s">
        <v>1</v>
      </c>
      <c r="C710" s="30" t="s">
        <v>45</v>
      </c>
      <c r="D710" s="31">
        <v>4</v>
      </c>
      <c r="E710" s="32" t="s">
        <v>16</v>
      </c>
      <c r="F710" s="31">
        <v>1000000</v>
      </c>
      <c r="G710" s="31">
        <f>ROUNDDOWN($D710*$F710,-3)</f>
        <v>4000000</v>
      </c>
      <c r="H710" s="31">
        <v>0</v>
      </c>
      <c r="I710" s="31">
        <f>SUMIF(dd_kuitansi[MAK],$A710,dd_kuitansi[Jumlah])</f>
        <v>0</v>
      </c>
      <c r="J710" s="31">
        <f>$G710-SUM($H710:$I710)</f>
        <v>4000000</v>
      </c>
    </row>
    <row r="711" spans="1:13" x14ac:dyDescent="0.25">
      <c r="A711" s="40" t="s">
        <v>1091</v>
      </c>
      <c r="B711" s="29" t="s">
        <v>1</v>
      </c>
      <c r="C711" s="30" t="s">
        <v>43</v>
      </c>
      <c r="D711" s="31">
        <v>4</v>
      </c>
      <c r="E711" s="32" t="s">
        <v>16</v>
      </c>
      <c r="F711" s="31">
        <v>1500000</v>
      </c>
      <c r="G711" s="31">
        <f>ROUNDDOWN($D711*$F711,-3)</f>
        <v>6000000</v>
      </c>
      <c r="H711" s="31">
        <v>0</v>
      </c>
      <c r="I711" s="31">
        <f>SUMIF(dd_kuitansi[MAK],$A711,dd_kuitansi[Jumlah])</f>
        <v>0</v>
      </c>
      <c r="J711" s="31">
        <f>$G711-SUM($H711:$I711)</f>
        <v>6000000</v>
      </c>
    </row>
    <row r="712" spans="1:13" s="9" customFormat="1" x14ac:dyDescent="0.25">
      <c r="A712" s="39" t="s">
        <v>637</v>
      </c>
      <c r="B712" s="17" t="s">
        <v>46</v>
      </c>
      <c r="C712" s="18" t="s">
        <v>47</v>
      </c>
      <c r="D712" s="19">
        <v>0</v>
      </c>
      <c r="E712" s="20" t="s">
        <v>1</v>
      </c>
      <c r="F712" s="19">
        <v>0</v>
      </c>
      <c r="G712" s="19">
        <f>G713</f>
        <v>8000000</v>
      </c>
      <c r="H712" s="19">
        <f>H713</f>
        <v>0</v>
      </c>
      <c r="I712" s="19">
        <f>I713</f>
        <v>0</v>
      </c>
      <c r="J712" s="19">
        <f>J713</f>
        <v>8000000</v>
      </c>
      <c r="M712" s="184"/>
    </row>
    <row r="713" spans="1:13" s="9" customFormat="1" x14ac:dyDescent="0.25">
      <c r="A713" s="39" t="s">
        <v>1092</v>
      </c>
      <c r="B713" s="29" t="s">
        <v>1</v>
      </c>
      <c r="C713" s="30" t="s">
        <v>48</v>
      </c>
      <c r="D713" s="31">
        <v>8</v>
      </c>
      <c r="E713" s="32" t="s">
        <v>49</v>
      </c>
      <c r="F713" s="31">
        <v>1000000</v>
      </c>
      <c r="G713" s="31">
        <f>ROUNDDOWN($D713*$F713,-3)</f>
        <v>8000000</v>
      </c>
      <c r="H713" s="31">
        <v>0</v>
      </c>
      <c r="I713" s="31">
        <f>SUMIF(dd_kuitansi[MAK],$A713,dd_kuitansi[Jumlah])</f>
        <v>0</v>
      </c>
      <c r="J713" s="31">
        <f>$G713-SUM($H713:$I713)</f>
        <v>8000000</v>
      </c>
      <c r="M713" s="184"/>
    </row>
    <row r="714" spans="1:13" x14ac:dyDescent="0.25">
      <c r="A714" s="40" t="s">
        <v>638</v>
      </c>
      <c r="B714" s="17" t="s">
        <v>50</v>
      </c>
      <c r="C714" s="18" t="s">
        <v>51</v>
      </c>
      <c r="D714" s="19">
        <v>0</v>
      </c>
      <c r="E714" s="20" t="s">
        <v>1</v>
      </c>
      <c r="F714" s="19">
        <v>0</v>
      </c>
      <c r="G714" s="31">
        <f>SUM(G715:G717)</f>
        <v>81080000</v>
      </c>
      <c r="H714" s="31">
        <f>SUM(H715:H717)</f>
        <v>0</v>
      </c>
      <c r="I714" s="31">
        <f>SUM(I715:I717)</f>
        <v>0</v>
      </c>
      <c r="J714" s="31">
        <f>SUM(J715:J717)</f>
        <v>81080000</v>
      </c>
    </row>
    <row r="715" spans="1:13" x14ac:dyDescent="0.25">
      <c r="A715" s="40" t="s">
        <v>1093</v>
      </c>
      <c r="B715" s="29" t="s">
        <v>1</v>
      </c>
      <c r="C715" s="30" t="s">
        <v>233</v>
      </c>
      <c r="D715" s="31">
        <v>8</v>
      </c>
      <c r="E715" s="32" t="s">
        <v>36</v>
      </c>
      <c r="F715" s="31">
        <v>3020000</v>
      </c>
      <c r="G715" s="31">
        <f>ROUNDDOWN($D715*$F715,-3)</f>
        <v>24160000</v>
      </c>
      <c r="H715" s="31">
        <v>0</v>
      </c>
      <c r="I715" s="31">
        <f>SUMIF(dd_kuitansi[MAK],$A715,dd_kuitansi[Jumlah])</f>
        <v>0</v>
      </c>
      <c r="J715" s="31">
        <f>$G715-SUM($H715:$I715)</f>
        <v>24160000</v>
      </c>
    </row>
    <row r="716" spans="1:13" x14ac:dyDescent="0.25">
      <c r="A716" s="40" t="s">
        <v>1094</v>
      </c>
      <c r="B716" s="29" t="s">
        <v>1</v>
      </c>
      <c r="C716" s="30" t="s">
        <v>234</v>
      </c>
      <c r="D716" s="31">
        <v>8</v>
      </c>
      <c r="E716" s="32" t="s">
        <v>36</v>
      </c>
      <c r="F716" s="31">
        <v>3020000</v>
      </c>
      <c r="G716" s="31">
        <f>ROUNDDOWN($D716*$F716,-3)</f>
        <v>24160000</v>
      </c>
      <c r="H716" s="31">
        <v>0</v>
      </c>
      <c r="I716" s="31">
        <f>SUMIF(dd_kuitansi[MAK],$A716,dd_kuitansi[Jumlah])</f>
        <v>0</v>
      </c>
      <c r="J716" s="31">
        <f>$G716-SUM($H716:$I716)</f>
        <v>24160000</v>
      </c>
    </row>
    <row r="717" spans="1:13" x14ac:dyDescent="0.25">
      <c r="A717" s="40" t="s">
        <v>1095</v>
      </c>
      <c r="B717" s="29" t="s">
        <v>1</v>
      </c>
      <c r="C717" s="30" t="s">
        <v>235</v>
      </c>
      <c r="D717" s="31">
        <v>6</v>
      </c>
      <c r="E717" s="32" t="s">
        <v>36</v>
      </c>
      <c r="F717" s="31">
        <v>5460000</v>
      </c>
      <c r="G717" s="31">
        <f>ROUNDDOWN($D717*$F717,-3)</f>
        <v>32760000</v>
      </c>
      <c r="H717" s="31">
        <v>0</v>
      </c>
      <c r="I717" s="31">
        <f>SUMIF(dd_kuitansi[MAK],$A717,dd_kuitansi[Jumlah])</f>
        <v>0</v>
      </c>
      <c r="J717" s="31">
        <f>$G717-SUM($H717:$I717)</f>
        <v>32760000</v>
      </c>
    </row>
    <row r="718" spans="1:13" s="9" customFormat="1" x14ac:dyDescent="0.25">
      <c r="A718" s="39" t="s">
        <v>639</v>
      </c>
      <c r="B718" s="17" t="s">
        <v>104</v>
      </c>
      <c r="C718" s="18" t="s">
        <v>105</v>
      </c>
      <c r="D718" s="19">
        <v>0</v>
      </c>
      <c r="E718" s="20" t="s">
        <v>1</v>
      </c>
      <c r="F718" s="19">
        <v>0</v>
      </c>
      <c r="G718" s="19">
        <f>G719</f>
        <v>3600000</v>
      </c>
      <c r="H718" s="19">
        <f>H719</f>
        <v>0</v>
      </c>
      <c r="I718" s="19">
        <f>I719</f>
        <v>0</v>
      </c>
      <c r="J718" s="19">
        <f>J719</f>
        <v>3600000</v>
      </c>
      <c r="M718" s="184"/>
    </row>
    <row r="719" spans="1:13" x14ac:dyDescent="0.25">
      <c r="A719" s="40" t="s">
        <v>1096</v>
      </c>
      <c r="B719" s="29" t="s">
        <v>1</v>
      </c>
      <c r="C719" s="30" t="s">
        <v>224</v>
      </c>
      <c r="D719" s="31">
        <v>24</v>
      </c>
      <c r="E719" s="32" t="s">
        <v>36</v>
      </c>
      <c r="F719" s="31">
        <v>150000</v>
      </c>
      <c r="G719" s="31">
        <f>ROUNDDOWN($D719*$F719,-3)</f>
        <v>3600000</v>
      </c>
      <c r="H719" s="31">
        <v>0</v>
      </c>
      <c r="I719" s="31">
        <f>SUMIF(dd_kuitansi[MAK],$A719,dd_kuitansi[Jumlah])</f>
        <v>0</v>
      </c>
      <c r="J719" s="31">
        <f>$G719-SUM($H719:$I719)</f>
        <v>3600000</v>
      </c>
    </row>
    <row r="720" spans="1:13" s="9" customFormat="1" x14ac:dyDescent="0.25">
      <c r="A720" s="39" t="s">
        <v>640</v>
      </c>
      <c r="B720" s="17" t="s">
        <v>54</v>
      </c>
      <c r="C720" s="18" t="s">
        <v>55</v>
      </c>
      <c r="D720" s="19">
        <v>0</v>
      </c>
      <c r="E720" s="20" t="s">
        <v>1</v>
      </c>
      <c r="F720" s="19">
        <v>0</v>
      </c>
      <c r="G720" s="19">
        <f>G721</f>
        <v>52500000</v>
      </c>
      <c r="H720" s="19">
        <f>H721</f>
        <v>0</v>
      </c>
      <c r="I720" s="19">
        <f>I721</f>
        <v>0</v>
      </c>
      <c r="J720" s="19">
        <f>J721</f>
        <v>52500000</v>
      </c>
      <c r="M720" s="184"/>
    </row>
    <row r="721" spans="1:13" x14ac:dyDescent="0.25">
      <c r="A721" s="40"/>
      <c r="B721" s="29" t="s">
        <v>1</v>
      </c>
      <c r="C721" s="33" t="s">
        <v>90</v>
      </c>
      <c r="D721" s="31">
        <v>0</v>
      </c>
      <c r="E721" s="32" t="s">
        <v>1</v>
      </c>
      <c r="F721" s="31">
        <v>0</v>
      </c>
      <c r="G721" s="31">
        <f>SUM(G722:G724)</f>
        <v>52500000</v>
      </c>
      <c r="H721" s="31">
        <f>SUM(H722:H724)</f>
        <v>0</v>
      </c>
      <c r="I721" s="31">
        <f>SUM(I722:I724)</f>
        <v>0</v>
      </c>
      <c r="J721" s="31">
        <f>SUM(J722:J724)</f>
        <v>52500000</v>
      </c>
    </row>
    <row r="722" spans="1:13" x14ac:dyDescent="0.25">
      <c r="A722" s="40" t="s">
        <v>1097</v>
      </c>
      <c r="B722" s="29" t="s">
        <v>1</v>
      </c>
      <c r="C722" s="30" t="s">
        <v>56</v>
      </c>
      <c r="D722" s="31">
        <v>30</v>
      </c>
      <c r="E722" s="32" t="s">
        <v>36</v>
      </c>
      <c r="F722" s="31">
        <v>300000</v>
      </c>
      <c r="G722" s="31">
        <f>ROUNDDOWN($D722*$F722,-3)</f>
        <v>9000000</v>
      </c>
      <c r="H722" s="31">
        <v>0</v>
      </c>
      <c r="I722" s="31">
        <f>SUMIF(dd_kuitansi[MAK],$A722,dd_kuitansi[Jumlah])</f>
        <v>0</v>
      </c>
      <c r="J722" s="31">
        <f>$G722-SUM($H722:$I722)</f>
        <v>9000000</v>
      </c>
    </row>
    <row r="723" spans="1:13" x14ac:dyDescent="0.25">
      <c r="A723" s="40" t="s">
        <v>1098</v>
      </c>
      <c r="B723" s="29" t="s">
        <v>1</v>
      </c>
      <c r="C723" s="30" t="s">
        <v>57</v>
      </c>
      <c r="D723" s="31">
        <v>150</v>
      </c>
      <c r="E723" s="32" t="s">
        <v>36</v>
      </c>
      <c r="F723" s="31">
        <v>250000</v>
      </c>
      <c r="G723" s="31">
        <f>ROUNDDOWN($D723*$F723,-3)</f>
        <v>37500000</v>
      </c>
      <c r="H723" s="31">
        <v>0</v>
      </c>
      <c r="I723" s="31">
        <f>SUMIF(dd_kuitansi[MAK],$A723,dd_kuitansi[Jumlah])</f>
        <v>0</v>
      </c>
      <c r="J723" s="31">
        <f>$G723-SUM($H723:$I723)</f>
        <v>37500000</v>
      </c>
    </row>
    <row r="724" spans="1:13" s="9" customFormat="1" x14ac:dyDescent="0.25">
      <c r="A724" s="39" t="s">
        <v>1099</v>
      </c>
      <c r="B724" s="29" t="s">
        <v>1</v>
      </c>
      <c r="C724" s="30" t="s">
        <v>58</v>
      </c>
      <c r="D724" s="31">
        <v>30</v>
      </c>
      <c r="E724" s="32" t="s">
        <v>36</v>
      </c>
      <c r="F724" s="31">
        <v>200000</v>
      </c>
      <c r="G724" s="31">
        <f>ROUNDDOWN($D724*$F724,-3)</f>
        <v>6000000</v>
      </c>
      <c r="H724" s="31">
        <v>0</v>
      </c>
      <c r="I724" s="31">
        <f>SUMIF(dd_kuitansi[MAK],$A724,dd_kuitansi[Jumlah])</f>
        <v>0</v>
      </c>
      <c r="J724" s="31">
        <f>$G724-SUM($H724:$I724)</f>
        <v>6000000</v>
      </c>
      <c r="M724" s="184"/>
    </row>
    <row r="725" spans="1:13" x14ac:dyDescent="0.25">
      <c r="A725" s="40" t="s">
        <v>432</v>
      </c>
      <c r="B725" s="25" t="s">
        <v>108</v>
      </c>
      <c r="C725" s="26" t="s">
        <v>236</v>
      </c>
      <c r="D725" s="27">
        <v>0</v>
      </c>
      <c r="E725" s="28" t="s">
        <v>1</v>
      </c>
      <c r="F725" s="27">
        <v>0</v>
      </c>
      <c r="G725" s="27">
        <f>SUM(G726,G730,G732,G735,G737,G739,G741)</f>
        <v>630585000</v>
      </c>
      <c r="H725" s="27">
        <f>SUM(H726,H730,H732,H735,H737,H739,H741)</f>
        <v>0</v>
      </c>
      <c r="I725" s="27">
        <f>SUM(I726,I730,I732,I735,I737,I739,I741)</f>
        <v>0</v>
      </c>
      <c r="J725" s="27">
        <f>SUM(J726,J730,J732,J735,J737,J739,J741)</f>
        <v>630585000</v>
      </c>
    </row>
    <row r="726" spans="1:13" s="9" customFormat="1" x14ac:dyDescent="0.25">
      <c r="A726" s="39" t="s">
        <v>641</v>
      </c>
      <c r="B726" s="17" t="s">
        <v>33</v>
      </c>
      <c r="C726" s="18" t="s">
        <v>34</v>
      </c>
      <c r="D726" s="19">
        <v>0</v>
      </c>
      <c r="E726" s="20" t="s">
        <v>1</v>
      </c>
      <c r="F726" s="19">
        <v>0</v>
      </c>
      <c r="G726" s="31">
        <f>SUM(G727:G729)</f>
        <v>83200000</v>
      </c>
      <c r="H726" s="31">
        <f>SUM(H727:H729)</f>
        <v>0</v>
      </c>
      <c r="I726" s="31">
        <f>SUM(I727:I729)</f>
        <v>0</v>
      </c>
      <c r="J726" s="31">
        <f>SUM(J727:J729)</f>
        <v>83200000</v>
      </c>
      <c r="M726" s="184"/>
    </row>
    <row r="727" spans="1:13" x14ac:dyDescent="0.25">
      <c r="A727" s="40" t="s">
        <v>1100</v>
      </c>
      <c r="B727" s="29" t="s">
        <v>1</v>
      </c>
      <c r="C727" s="30" t="s">
        <v>35</v>
      </c>
      <c r="D727" s="31">
        <v>800</v>
      </c>
      <c r="E727" s="32" t="s">
        <v>36</v>
      </c>
      <c r="F727" s="31">
        <v>69000</v>
      </c>
      <c r="G727" s="31">
        <f>ROUNDDOWN($D727*$F727,-3)</f>
        <v>55200000</v>
      </c>
      <c r="H727" s="31">
        <v>0</v>
      </c>
      <c r="I727" s="31">
        <f>SUMIF(dd_kuitansi[MAK],$A727,dd_kuitansi[Jumlah])</f>
        <v>0</v>
      </c>
      <c r="J727" s="31">
        <f>$G727-SUM($H727:$I727)</f>
        <v>55200000</v>
      </c>
    </row>
    <row r="728" spans="1:13" x14ac:dyDescent="0.25">
      <c r="A728" s="40" t="s">
        <v>1101</v>
      </c>
      <c r="B728" s="29" t="s">
        <v>1</v>
      </c>
      <c r="C728" s="30" t="s">
        <v>37</v>
      </c>
      <c r="D728" s="31">
        <v>12</v>
      </c>
      <c r="E728" s="32" t="s">
        <v>16</v>
      </c>
      <c r="F728" s="31">
        <v>1500000</v>
      </c>
      <c r="G728" s="31">
        <f>ROUNDDOWN($D728*$F728,-3)</f>
        <v>18000000</v>
      </c>
      <c r="H728" s="31">
        <v>0</v>
      </c>
      <c r="I728" s="31">
        <f>SUMIF(dd_kuitansi[MAK],$A728,dd_kuitansi[Jumlah])</f>
        <v>0</v>
      </c>
      <c r="J728" s="31">
        <f>$G728-SUM($H728:$I728)</f>
        <v>18000000</v>
      </c>
    </row>
    <row r="729" spans="1:13" x14ac:dyDescent="0.25">
      <c r="A729" s="40" t="s">
        <v>1102</v>
      </c>
      <c r="B729" s="29" t="s">
        <v>1</v>
      </c>
      <c r="C729" s="30" t="s">
        <v>100</v>
      </c>
      <c r="D729" s="31">
        <v>1</v>
      </c>
      <c r="E729" s="32" t="s">
        <v>16</v>
      </c>
      <c r="F729" s="31">
        <v>10000000</v>
      </c>
      <c r="G729" s="31">
        <f>ROUNDDOWN($D729*$F729,-3)</f>
        <v>10000000</v>
      </c>
      <c r="H729" s="31">
        <v>0</v>
      </c>
      <c r="I729" s="31">
        <f>SUMIF(dd_kuitansi[MAK],$A729,dd_kuitansi[Jumlah])</f>
        <v>0</v>
      </c>
      <c r="J729" s="31">
        <f>$G729-SUM($H729:$I729)</f>
        <v>10000000</v>
      </c>
    </row>
    <row r="730" spans="1:13" x14ac:dyDescent="0.25">
      <c r="A730" s="40" t="s">
        <v>642</v>
      </c>
      <c r="B730" s="17" t="s">
        <v>38</v>
      </c>
      <c r="C730" s="18" t="s">
        <v>39</v>
      </c>
      <c r="D730" s="19">
        <v>0</v>
      </c>
      <c r="E730" s="20" t="s">
        <v>1</v>
      </c>
      <c r="F730" s="19">
        <v>0</v>
      </c>
      <c r="G730" s="19">
        <f>G731</f>
        <v>20000000</v>
      </c>
      <c r="H730" s="19">
        <f>H731</f>
        <v>0</v>
      </c>
      <c r="I730" s="19">
        <f>I731</f>
        <v>0</v>
      </c>
      <c r="J730" s="19">
        <f>J731</f>
        <v>20000000</v>
      </c>
    </row>
    <row r="731" spans="1:13" s="9" customFormat="1" x14ac:dyDescent="0.25">
      <c r="A731" s="39" t="s">
        <v>1103</v>
      </c>
      <c r="B731" s="29" t="s">
        <v>1</v>
      </c>
      <c r="C731" s="30" t="s">
        <v>102</v>
      </c>
      <c r="D731" s="31">
        <v>1</v>
      </c>
      <c r="E731" s="32" t="s">
        <v>101</v>
      </c>
      <c r="F731" s="31">
        <v>20000000</v>
      </c>
      <c r="G731" s="31">
        <f>ROUNDDOWN($D731*$F731,-3)</f>
        <v>20000000</v>
      </c>
      <c r="H731" s="31">
        <v>0</v>
      </c>
      <c r="I731" s="31">
        <f>SUMIF(dd_kuitansi[MAK],$A731,dd_kuitansi[Jumlah])</f>
        <v>0</v>
      </c>
      <c r="J731" s="31">
        <f>$G731-SUM($H731:$I731)</f>
        <v>20000000</v>
      </c>
      <c r="M731" s="184"/>
    </row>
    <row r="732" spans="1:13" s="9" customFormat="1" x14ac:dyDescent="0.25">
      <c r="A732" s="39" t="s">
        <v>643</v>
      </c>
      <c r="B732" s="17" t="s">
        <v>41</v>
      </c>
      <c r="C732" s="18" t="s">
        <v>42</v>
      </c>
      <c r="D732" s="19">
        <v>0</v>
      </c>
      <c r="E732" s="20" t="s">
        <v>1</v>
      </c>
      <c r="F732" s="19">
        <v>0</v>
      </c>
      <c r="G732" s="19">
        <f>SUM(G733:G734)</f>
        <v>30000000</v>
      </c>
      <c r="H732" s="19">
        <f>SUM(H733:H734)</f>
        <v>0</v>
      </c>
      <c r="I732" s="19">
        <f>SUM(I733:I734)</f>
        <v>0</v>
      </c>
      <c r="J732" s="19">
        <f>SUM(J733:J734)</f>
        <v>30000000</v>
      </c>
      <c r="M732" s="184"/>
    </row>
    <row r="733" spans="1:13" x14ac:dyDescent="0.25">
      <c r="A733" s="40" t="s">
        <v>1104</v>
      </c>
      <c r="B733" s="29" t="s">
        <v>1</v>
      </c>
      <c r="C733" s="30" t="s">
        <v>45</v>
      </c>
      <c r="D733" s="31">
        <v>12</v>
      </c>
      <c r="E733" s="32" t="s">
        <v>16</v>
      </c>
      <c r="F733" s="31">
        <v>1000000</v>
      </c>
      <c r="G733" s="31">
        <f>ROUNDDOWN($D733*$F733,-3)</f>
        <v>12000000</v>
      </c>
      <c r="H733" s="31">
        <v>0</v>
      </c>
      <c r="I733" s="31">
        <f>SUMIF(dd_kuitansi[MAK],$A733,dd_kuitansi[Jumlah])</f>
        <v>0</v>
      </c>
      <c r="J733" s="31">
        <f>$G733-SUM($H733:$I733)</f>
        <v>12000000</v>
      </c>
    </row>
    <row r="734" spans="1:13" x14ac:dyDescent="0.25">
      <c r="A734" s="40" t="s">
        <v>1105</v>
      </c>
      <c r="B734" s="29" t="s">
        <v>1</v>
      </c>
      <c r="C734" s="30" t="s">
        <v>43</v>
      </c>
      <c r="D734" s="31">
        <v>12</v>
      </c>
      <c r="E734" s="32" t="s">
        <v>16</v>
      </c>
      <c r="F734" s="31">
        <v>1500000</v>
      </c>
      <c r="G734" s="31">
        <f>ROUNDDOWN($D734*$F734,-3)</f>
        <v>18000000</v>
      </c>
      <c r="H734" s="31">
        <v>0</v>
      </c>
      <c r="I734" s="31">
        <f>SUMIF(dd_kuitansi[MAK],$A734,dd_kuitansi[Jumlah])</f>
        <v>0</v>
      </c>
      <c r="J734" s="31">
        <f>$G734-SUM($H734:$I734)</f>
        <v>18000000</v>
      </c>
    </row>
    <row r="735" spans="1:13" x14ac:dyDescent="0.25">
      <c r="A735" s="40" t="s">
        <v>644</v>
      </c>
      <c r="B735" s="17" t="s">
        <v>46</v>
      </c>
      <c r="C735" s="18" t="s">
        <v>47</v>
      </c>
      <c r="D735" s="19">
        <v>0</v>
      </c>
      <c r="E735" s="20" t="s">
        <v>1</v>
      </c>
      <c r="F735" s="19">
        <v>0</v>
      </c>
      <c r="G735" s="19">
        <f>G736</f>
        <v>60000000</v>
      </c>
      <c r="H735" s="19">
        <f>H736</f>
        <v>0</v>
      </c>
      <c r="I735" s="19">
        <f>I736</f>
        <v>0</v>
      </c>
      <c r="J735" s="19">
        <f>J736</f>
        <v>60000000</v>
      </c>
    </row>
    <row r="736" spans="1:13" s="9" customFormat="1" x14ac:dyDescent="0.25">
      <c r="A736" s="39" t="s">
        <v>1106</v>
      </c>
      <c r="B736" s="29" t="s">
        <v>1</v>
      </c>
      <c r="C736" s="30" t="s">
        <v>48</v>
      </c>
      <c r="D736" s="31">
        <v>60</v>
      </c>
      <c r="E736" s="32" t="s">
        <v>49</v>
      </c>
      <c r="F736" s="31">
        <v>1000000</v>
      </c>
      <c r="G736" s="31">
        <f>ROUNDDOWN($D736*$F736,-3)</f>
        <v>60000000</v>
      </c>
      <c r="H736" s="31">
        <v>0</v>
      </c>
      <c r="I736" s="31">
        <f>SUMIF(dd_kuitansi[MAK],$A736,dd_kuitansi[Jumlah])</f>
        <v>0</v>
      </c>
      <c r="J736" s="31">
        <f>$G736-SUM($H736:$I736)</f>
        <v>60000000</v>
      </c>
      <c r="M736" s="184"/>
    </row>
    <row r="737" spans="1:13" x14ac:dyDescent="0.25">
      <c r="A737" s="40" t="s">
        <v>645</v>
      </c>
      <c r="B737" s="17" t="s">
        <v>50</v>
      </c>
      <c r="C737" s="18" t="s">
        <v>51</v>
      </c>
      <c r="D737" s="19">
        <v>0</v>
      </c>
      <c r="E737" s="20" t="s">
        <v>1</v>
      </c>
      <c r="F737" s="19">
        <v>0</v>
      </c>
      <c r="G737" s="19">
        <f>G738</f>
        <v>362885000</v>
      </c>
      <c r="H737" s="19">
        <f>H738</f>
        <v>0</v>
      </c>
      <c r="I737" s="19">
        <f>I738</f>
        <v>0</v>
      </c>
      <c r="J737" s="19">
        <f>J738</f>
        <v>362885000</v>
      </c>
    </row>
    <row r="738" spans="1:13" s="9" customFormat="1" x14ac:dyDescent="0.25">
      <c r="A738" s="39" t="s">
        <v>1107</v>
      </c>
      <c r="B738" s="29" t="s">
        <v>1</v>
      </c>
      <c r="C738" s="30" t="s">
        <v>237</v>
      </c>
      <c r="D738" s="31">
        <v>80</v>
      </c>
      <c r="E738" s="32" t="s">
        <v>36</v>
      </c>
      <c r="F738" s="31">
        <v>4536063</v>
      </c>
      <c r="G738" s="31">
        <f>ROUNDDOWN($D738*$F738,-3)</f>
        <v>362885000</v>
      </c>
      <c r="H738" s="31">
        <v>0</v>
      </c>
      <c r="I738" s="31">
        <f>SUMIF(dd_kuitansi[MAK],$A738,dd_kuitansi[Jumlah])</f>
        <v>0</v>
      </c>
      <c r="J738" s="31">
        <f>$G738-SUM($H738:$I738)</f>
        <v>362885000</v>
      </c>
      <c r="M738" s="184"/>
    </row>
    <row r="739" spans="1:13" x14ac:dyDescent="0.25">
      <c r="A739" s="40" t="s">
        <v>646</v>
      </c>
      <c r="B739" s="17" t="s">
        <v>104</v>
      </c>
      <c r="C739" s="18" t="s">
        <v>105</v>
      </c>
      <c r="D739" s="19">
        <v>0</v>
      </c>
      <c r="E739" s="20" t="s">
        <v>1</v>
      </c>
      <c r="F739" s="19">
        <v>0</v>
      </c>
      <c r="G739" s="19">
        <f>G740</f>
        <v>7500000</v>
      </c>
      <c r="H739" s="19">
        <f>H740</f>
        <v>0</v>
      </c>
      <c r="I739" s="19">
        <f>I740</f>
        <v>0</v>
      </c>
      <c r="J739" s="19">
        <f>J740</f>
        <v>7500000</v>
      </c>
    </row>
    <row r="740" spans="1:13" x14ac:dyDescent="0.25">
      <c r="A740" s="40" t="s">
        <v>1108</v>
      </c>
      <c r="B740" s="29" t="s">
        <v>1</v>
      </c>
      <c r="C740" s="30" t="s">
        <v>106</v>
      </c>
      <c r="D740" s="31">
        <v>50</v>
      </c>
      <c r="E740" s="32" t="s">
        <v>36</v>
      </c>
      <c r="F740" s="31">
        <v>150000</v>
      </c>
      <c r="G740" s="31">
        <f>ROUNDDOWN($D740*$F740,-3)</f>
        <v>7500000</v>
      </c>
      <c r="H740" s="31">
        <v>0</v>
      </c>
      <c r="I740" s="31">
        <f>SUMIF(dd_kuitansi[MAK],$A740,dd_kuitansi[Jumlah])</f>
        <v>0</v>
      </c>
      <c r="J740" s="31">
        <f>$G740-SUM($H740:$I740)</f>
        <v>7500000</v>
      </c>
    </row>
    <row r="741" spans="1:13" s="9" customFormat="1" x14ac:dyDescent="0.25">
      <c r="A741" s="39" t="s">
        <v>647</v>
      </c>
      <c r="B741" s="17" t="s">
        <v>54</v>
      </c>
      <c r="C741" s="18" t="s">
        <v>55</v>
      </c>
      <c r="D741" s="19">
        <v>0</v>
      </c>
      <c r="E741" s="20" t="s">
        <v>1</v>
      </c>
      <c r="F741" s="19">
        <v>0</v>
      </c>
      <c r="G741" s="19">
        <f>SUM(G742:G745)</f>
        <v>67000000</v>
      </c>
      <c r="H741" s="19">
        <f>SUM(H742:H745)</f>
        <v>0</v>
      </c>
      <c r="I741" s="19">
        <f>SUM(I742:I745)</f>
        <v>0</v>
      </c>
      <c r="J741" s="19">
        <f>SUM(J742:J745)</f>
        <v>67000000</v>
      </c>
      <c r="M741" s="184"/>
    </row>
    <row r="742" spans="1:13" x14ac:dyDescent="0.25">
      <c r="A742" s="40"/>
      <c r="B742" s="29" t="s">
        <v>1</v>
      </c>
      <c r="C742" s="33" t="s">
        <v>107</v>
      </c>
      <c r="D742" s="31">
        <v>0</v>
      </c>
      <c r="E742" s="32" t="s">
        <v>1</v>
      </c>
      <c r="F742" s="31">
        <v>0</v>
      </c>
      <c r="G742" s="31">
        <v>0</v>
      </c>
      <c r="H742" s="31">
        <v>0</v>
      </c>
      <c r="I742" s="31">
        <v>0</v>
      </c>
      <c r="J742" s="31">
        <v>0</v>
      </c>
    </row>
    <row r="743" spans="1:13" s="9" customFormat="1" x14ac:dyDescent="0.25">
      <c r="A743" s="39" t="s">
        <v>1109</v>
      </c>
      <c r="B743" s="29" t="s">
        <v>1</v>
      </c>
      <c r="C743" s="30" t="s">
        <v>56</v>
      </c>
      <c r="D743" s="31">
        <v>40</v>
      </c>
      <c r="E743" s="32" t="s">
        <v>36</v>
      </c>
      <c r="F743" s="31">
        <v>300000</v>
      </c>
      <c r="G743" s="31">
        <f>ROUNDDOWN($D743*$F743,-3)</f>
        <v>12000000</v>
      </c>
      <c r="H743" s="31">
        <v>0</v>
      </c>
      <c r="I743" s="31">
        <f>SUMIF(dd_kuitansi[MAK],$A743,dd_kuitansi[Jumlah])</f>
        <v>0</v>
      </c>
      <c r="J743" s="31">
        <f>$G743-SUM($H743:$I743)</f>
        <v>12000000</v>
      </c>
      <c r="M743" s="184"/>
    </row>
    <row r="744" spans="1:13" x14ac:dyDescent="0.25">
      <c r="A744" s="40" t="s">
        <v>1110</v>
      </c>
      <c r="B744" s="29" t="s">
        <v>1</v>
      </c>
      <c r="C744" s="30" t="s">
        <v>57</v>
      </c>
      <c r="D744" s="31">
        <v>200</v>
      </c>
      <c r="E744" s="32" t="s">
        <v>36</v>
      </c>
      <c r="F744" s="31">
        <v>250000</v>
      </c>
      <c r="G744" s="31">
        <f>ROUNDDOWN($D744*$F744,-3)</f>
        <v>50000000</v>
      </c>
      <c r="H744" s="31">
        <v>0</v>
      </c>
      <c r="I744" s="31">
        <f>SUMIF(dd_kuitansi[MAK],$A744,dd_kuitansi[Jumlah])</f>
        <v>0</v>
      </c>
      <c r="J744" s="31">
        <f>$G744-SUM($H744:$I744)</f>
        <v>50000000</v>
      </c>
    </row>
    <row r="745" spans="1:13" s="9" customFormat="1" x14ac:dyDescent="0.25">
      <c r="A745" s="39" t="s">
        <v>1111</v>
      </c>
      <c r="B745" s="29" t="s">
        <v>1</v>
      </c>
      <c r="C745" s="30" t="s">
        <v>58</v>
      </c>
      <c r="D745" s="31">
        <v>25</v>
      </c>
      <c r="E745" s="32" t="s">
        <v>36</v>
      </c>
      <c r="F745" s="31">
        <v>200000</v>
      </c>
      <c r="G745" s="31">
        <f>ROUNDDOWN($D745*$F745,-3)</f>
        <v>5000000</v>
      </c>
      <c r="H745" s="31">
        <v>0</v>
      </c>
      <c r="I745" s="31">
        <f>SUMIF(dd_kuitansi[MAK],$A745,dd_kuitansi[Jumlah])</f>
        <v>0</v>
      </c>
      <c r="J745" s="31">
        <f>$G745-SUM($H745:$I745)</f>
        <v>5000000</v>
      </c>
      <c r="M745" s="184"/>
    </row>
    <row r="746" spans="1:13" x14ac:dyDescent="0.25">
      <c r="A746" s="40" t="s">
        <v>433</v>
      </c>
      <c r="B746" s="25" t="s">
        <v>111</v>
      </c>
      <c r="C746" s="26" t="s">
        <v>238</v>
      </c>
      <c r="D746" s="27">
        <v>0</v>
      </c>
      <c r="E746" s="28" t="s">
        <v>1</v>
      </c>
      <c r="F746" s="27">
        <v>0</v>
      </c>
      <c r="G746" s="27">
        <f>SUM(G747,G750,G753,G755,G757,G759)</f>
        <v>484863000</v>
      </c>
      <c r="H746" s="27">
        <f>SUM(H747,H750,H753,H755,H757,H759)</f>
        <v>0</v>
      </c>
      <c r="I746" s="27">
        <f>SUM(I747,I750,I753,I755,I757,I759)</f>
        <v>0</v>
      </c>
      <c r="J746" s="27">
        <f>SUM(J747,J750,J753,J755,J757,J759)</f>
        <v>484863000</v>
      </c>
    </row>
    <row r="747" spans="1:13" s="9" customFormat="1" x14ac:dyDescent="0.25">
      <c r="A747" s="39" t="s">
        <v>648</v>
      </c>
      <c r="B747" s="17" t="s">
        <v>33</v>
      </c>
      <c r="C747" s="18" t="s">
        <v>34</v>
      </c>
      <c r="D747" s="19">
        <v>0</v>
      </c>
      <c r="E747" s="20" t="s">
        <v>1</v>
      </c>
      <c r="F747" s="19">
        <v>0</v>
      </c>
      <c r="G747" s="19">
        <f>SUM(G748:G749)</f>
        <v>73200000</v>
      </c>
      <c r="H747" s="19">
        <f>SUM(H748:H749)</f>
        <v>0</v>
      </c>
      <c r="I747" s="19">
        <f>SUM(I748:I749)</f>
        <v>0</v>
      </c>
      <c r="J747" s="19">
        <f>SUM(J748:J749)</f>
        <v>73200000</v>
      </c>
      <c r="M747" s="184"/>
    </row>
    <row r="748" spans="1:13" x14ac:dyDescent="0.25">
      <c r="A748" s="40" t="s">
        <v>1112</v>
      </c>
      <c r="B748" s="29" t="s">
        <v>1</v>
      </c>
      <c r="C748" s="30" t="s">
        <v>35</v>
      </c>
      <c r="D748" s="31">
        <v>800</v>
      </c>
      <c r="E748" s="32" t="s">
        <v>36</v>
      </c>
      <c r="F748" s="31">
        <v>69000</v>
      </c>
      <c r="G748" s="31">
        <f>ROUNDDOWN($D748*$F748,-3)</f>
        <v>55200000</v>
      </c>
      <c r="H748" s="31">
        <v>0</v>
      </c>
      <c r="I748" s="31">
        <f>SUMIF(dd_kuitansi[MAK],$A748,dd_kuitansi[Jumlah])</f>
        <v>0</v>
      </c>
      <c r="J748" s="31">
        <f>$G748-SUM($H748:$I748)</f>
        <v>55200000</v>
      </c>
    </row>
    <row r="749" spans="1:13" x14ac:dyDescent="0.25">
      <c r="A749" s="40" t="s">
        <v>1113</v>
      </c>
      <c r="B749" s="29" t="s">
        <v>1</v>
      </c>
      <c r="C749" s="30" t="s">
        <v>37</v>
      </c>
      <c r="D749" s="31">
        <v>12</v>
      </c>
      <c r="E749" s="32" t="s">
        <v>16</v>
      </c>
      <c r="F749" s="31">
        <v>1500000</v>
      </c>
      <c r="G749" s="31">
        <f>ROUNDDOWN($D749*$F749,-3)</f>
        <v>18000000</v>
      </c>
      <c r="H749" s="31">
        <v>0</v>
      </c>
      <c r="I749" s="31">
        <f>SUMIF(dd_kuitansi[MAK],$A749,dd_kuitansi[Jumlah])</f>
        <v>0</v>
      </c>
      <c r="J749" s="31">
        <f>$G749-SUM($H749:$I749)</f>
        <v>18000000</v>
      </c>
    </row>
    <row r="750" spans="1:13" x14ac:dyDescent="0.25">
      <c r="A750" s="40" t="s">
        <v>649</v>
      </c>
      <c r="B750" s="17" t="s">
        <v>41</v>
      </c>
      <c r="C750" s="18" t="s">
        <v>42</v>
      </c>
      <c r="D750" s="19">
        <v>0</v>
      </c>
      <c r="E750" s="20" t="s">
        <v>1</v>
      </c>
      <c r="F750" s="19">
        <v>0</v>
      </c>
      <c r="G750" s="19">
        <f>SUM(G751:G752)</f>
        <v>30000000</v>
      </c>
      <c r="H750" s="19">
        <f>SUM(H751:H752)</f>
        <v>0</v>
      </c>
      <c r="I750" s="19">
        <f>SUM(I751:I752)</f>
        <v>0</v>
      </c>
      <c r="J750" s="19">
        <f>SUM(J751:J752)</f>
        <v>30000000</v>
      </c>
    </row>
    <row r="751" spans="1:13" x14ac:dyDescent="0.25">
      <c r="A751" s="40" t="s">
        <v>1114</v>
      </c>
      <c r="B751" s="29" t="s">
        <v>1</v>
      </c>
      <c r="C751" s="30" t="s">
        <v>45</v>
      </c>
      <c r="D751" s="31">
        <v>12</v>
      </c>
      <c r="E751" s="32" t="s">
        <v>16</v>
      </c>
      <c r="F751" s="31">
        <v>1000000</v>
      </c>
      <c r="G751" s="31">
        <f>ROUNDDOWN($D751*$F751,-3)</f>
        <v>12000000</v>
      </c>
      <c r="H751" s="31">
        <v>0</v>
      </c>
      <c r="I751" s="31">
        <f>SUMIF(dd_kuitansi[MAK],$A751,dd_kuitansi[Jumlah])</f>
        <v>0</v>
      </c>
      <c r="J751" s="31">
        <f>$G751-SUM($H751:$I751)</f>
        <v>12000000</v>
      </c>
    </row>
    <row r="752" spans="1:13" s="9" customFormat="1" x14ac:dyDescent="0.25">
      <c r="A752" s="39" t="s">
        <v>1115</v>
      </c>
      <c r="B752" s="29" t="s">
        <v>1</v>
      </c>
      <c r="C752" s="30" t="s">
        <v>43</v>
      </c>
      <c r="D752" s="31">
        <v>12</v>
      </c>
      <c r="E752" s="32" t="s">
        <v>16</v>
      </c>
      <c r="F752" s="31">
        <v>1500000</v>
      </c>
      <c r="G752" s="31">
        <f>ROUNDDOWN($D752*$F752,-3)</f>
        <v>18000000</v>
      </c>
      <c r="H752" s="31">
        <v>0</v>
      </c>
      <c r="I752" s="31">
        <f>SUMIF(dd_kuitansi[MAK],$A752,dd_kuitansi[Jumlah])</f>
        <v>0</v>
      </c>
      <c r="J752" s="31">
        <f>$G752-SUM($H752:$I752)</f>
        <v>18000000</v>
      </c>
      <c r="M752" s="184"/>
    </row>
    <row r="753" spans="1:13" s="9" customFormat="1" x14ac:dyDescent="0.25">
      <c r="A753" s="39" t="s">
        <v>650</v>
      </c>
      <c r="B753" s="17" t="s">
        <v>46</v>
      </c>
      <c r="C753" s="18" t="s">
        <v>47</v>
      </c>
      <c r="D753" s="19">
        <v>0</v>
      </c>
      <c r="E753" s="20" t="s">
        <v>1</v>
      </c>
      <c r="F753" s="19">
        <v>0</v>
      </c>
      <c r="G753" s="19">
        <f>G754</f>
        <v>40000000</v>
      </c>
      <c r="H753" s="19">
        <f>H754</f>
        <v>0</v>
      </c>
      <c r="I753" s="19">
        <f>I754</f>
        <v>0</v>
      </c>
      <c r="J753" s="19">
        <f>J754</f>
        <v>40000000</v>
      </c>
      <c r="M753" s="184"/>
    </row>
    <row r="754" spans="1:13" x14ac:dyDescent="0.25">
      <c r="A754" s="40" t="s">
        <v>1116</v>
      </c>
      <c r="B754" s="29" t="s">
        <v>1</v>
      </c>
      <c r="C754" s="30" t="s">
        <v>48</v>
      </c>
      <c r="D754" s="31">
        <v>40</v>
      </c>
      <c r="E754" s="32" t="s">
        <v>49</v>
      </c>
      <c r="F754" s="31">
        <v>1000000</v>
      </c>
      <c r="G754" s="31">
        <f>ROUNDDOWN($D754*$F754,-3)</f>
        <v>40000000</v>
      </c>
      <c r="H754" s="31">
        <v>0</v>
      </c>
      <c r="I754" s="31">
        <f>SUMIF(dd_kuitansi[MAK],$A754,dd_kuitansi[Jumlah])</f>
        <v>0</v>
      </c>
      <c r="J754" s="31">
        <f>$G754-SUM($H754:$I754)</f>
        <v>40000000</v>
      </c>
    </row>
    <row r="755" spans="1:13" x14ac:dyDescent="0.25">
      <c r="A755" s="40" t="s">
        <v>651</v>
      </c>
      <c r="B755" s="17" t="s">
        <v>50</v>
      </c>
      <c r="C755" s="18" t="s">
        <v>51</v>
      </c>
      <c r="D755" s="19">
        <v>0</v>
      </c>
      <c r="E755" s="20" t="s">
        <v>1</v>
      </c>
      <c r="F755" s="19">
        <v>0</v>
      </c>
      <c r="G755" s="19">
        <f>G756</f>
        <v>272163000</v>
      </c>
      <c r="H755" s="19">
        <f>H756</f>
        <v>0</v>
      </c>
      <c r="I755" s="19">
        <f>I756</f>
        <v>0</v>
      </c>
      <c r="J755" s="19">
        <f>J756</f>
        <v>272163000</v>
      </c>
    </row>
    <row r="756" spans="1:13" s="9" customFormat="1" x14ac:dyDescent="0.25">
      <c r="A756" s="39" t="s">
        <v>1117</v>
      </c>
      <c r="B756" s="29" t="s">
        <v>1</v>
      </c>
      <c r="C756" s="30" t="s">
        <v>239</v>
      </c>
      <c r="D756" s="31">
        <v>60</v>
      </c>
      <c r="E756" s="32" t="s">
        <v>36</v>
      </c>
      <c r="F756" s="31">
        <v>4536063</v>
      </c>
      <c r="G756" s="31">
        <f>ROUNDDOWN($D756*$F756,-3)</f>
        <v>272163000</v>
      </c>
      <c r="H756" s="31">
        <v>0</v>
      </c>
      <c r="I756" s="31">
        <f>SUMIF(dd_kuitansi[MAK],$A756,dd_kuitansi[Jumlah])</f>
        <v>0</v>
      </c>
      <c r="J756" s="31">
        <f>$G756-SUM($H756:$I756)</f>
        <v>272163000</v>
      </c>
      <c r="M756" s="184"/>
    </row>
    <row r="757" spans="1:13" x14ac:dyDescent="0.25">
      <c r="A757" s="40" t="s">
        <v>652</v>
      </c>
      <c r="B757" s="17" t="s">
        <v>104</v>
      </c>
      <c r="C757" s="18" t="s">
        <v>105</v>
      </c>
      <c r="D757" s="19">
        <v>0</v>
      </c>
      <c r="E757" s="20" t="s">
        <v>1</v>
      </c>
      <c r="F757" s="19">
        <v>0</v>
      </c>
      <c r="G757" s="19">
        <f>G758</f>
        <v>7500000</v>
      </c>
      <c r="H757" s="19">
        <f>H758</f>
        <v>0</v>
      </c>
      <c r="I757" s="19">
        <f>I758</f>
        <v>0</v>
      </c>
      <c r="J757" s="19">
        <f>J758</f>
        <v>7500000</v>
      </c>
    </row>
    <row r="758" spans="1:13" x14ac:dyDescent="0.25">
      <c r="A758" s="40" t="s">
        <v>1118</v>
      </c>
      <c r="B758" s="29" t="s">
        <v>1</v>
      </c>
      <c r="C758" s="30" t="s">
        <v>106</v>
      </c>
      <c r="D758" s="31">
        <v>50</v>
      </c>
      <c r="E758" s="32" t="s">
        <v>36</v>
      </c>
      <c r="F758" s="31">
        <v>150000</v>
      </c>
      <c r="G758" s="31">
        <f>ROUNDDOWN($D758*$F758,-3)</f>
        <v>7500000</v>
      </c>
      <c r="H758" s="31">
        <v>0</v>
      </c>
      <c r="I758" s="31">
        <f>SUMIF(dd_kuitansi[MAK],$A758,dd_kuitansi[Jumlah])</f>
        <v>0</v>
      </c>
      <c r="J758" s="31">
        <f>$G758-SUM($H758:$I758)</f>
        <v>7500000</v>
      </c>
    </row>
    <row r="759" spans="1:13" s="9" customFormat="1" x14ac:dyDescent="0.25">
      <c r="A759" s="39" t="s">
        <v>653</v>
      </c>
      <c r="B759" s="17" t="s">
        <v>54</v>
      </c>
      <c r="C759" s="18" t="s">
        <v>55</v>
      </c>
      <c r="D759" s="19">
        <v>0</v>
      </c>
      <c r="E759" s="20" t="s">
        <v>1</v>
      </c>
      <c r="F759" s="19">
        <v>0</v>
      </c>
      <c r="G759" s="19">
        <f>SUM(G760:G763)</f>
        <v>62000000</v>
      </c>
      <c r="H759" s="19">
        <f>SUM(H760:H763)</f>
        <v>0</v>
      </c>
      <c r="I759" s="19">
        <f>SUM(I760:I763)</f>
        <v>0</v>
      </c>
      <c r="J759" s="19">
        <f>SUM(J760:J763)</f>
        <v>62000000</v>
      </c>
      <c r="M759" s="184"/>
    </row>
    <row r="760" spans="1:13" x14ac:dyDescent="0.25">
      <c r="A760" s="40"/>
      <c r="B760" s="29" t="s">
        <v>1</v>
      </c>
      <c r="C760" s="33" t="s">
        <v>107</v>
      </c>
      <c r="D760" s="31">
        <v>0</v>
      </c>
      <c r="E760" s="32" t="s">
        <v>1</v>
      </c>
      <c r="F760" s="31">
        <v>0</v>
      </c>
      <c r="G760" s="31">
        <v>0</v>
      </c>
      <c r="H760" s="31">
        <v>0</v>
      </c>
      <c r="I760" s="31">
        <v>0</v>
      </c>
      <c r="J760" s="31">
        <v>0</v>
      </c>
    </row>
    <row r="761" spans="1:13" s="9" customFormat="1" x14ac:dyDescent="0.25">
      <c r="A761" s="39" t="s">
        <v>1119</v>
      </c>
      <c r="B761" s="29" t="s">
        <v>1</v>
      </c>
      <c r="C761" s="30" t="s">
        <v>56</v>
      </c>
      <c r="D761" s="31">
        <v>40</v>
      </c>
      <c r="E761" s="32" t="s">
        <v>36</v>
      </c>
      <c r="F761" s="31">
        <v>300000</v>
      </c>
      <c r="G761" s="31">
        <f>ROUNDDOWN($D761*$F761,-3)</f>
        <v>12000000</v>
      </c>
      <c r="H761" s="31">
        <v>0</v>
      </c>
      <c r="I761" s="31">
        <f>SUMIF(dd_kuitansi[MAK],$A761,dd_kuitansi[Jumlah])</f>
        <v>0</v>
      </c>
      <c r="J761" s="31">
        <f>$G761-SUM($H761:$I761)</f>
        <v>12000000</v>
      </c>
      <c r="M761" s="184"/>
    </row>
    <row r="762" spans="1:13" x14ac:dyDescent="0.25">
      <c r="A762" s="40" t="s">
        <v>1120</v>
      </c>
      <c r="B762" s="29" t="s">
        <v>1</v>
      </c>
      <c r="C762" s="30" t="s">
        <v>57</v>
      </c>
      <c r="D762" s="31">
        <v>180</v>
      </c>
      <c r="E762" s="32" t="s">
        <v>36</v>
      </c>
      <c r="F762" s="31">
        <v>250000</v>
      </c>
      <c r="G762" s="31">
        <f>ROUNDDOWN($D762*$F762,-3)</f>
        <v>45000000</v>
      </c>
      <c r="H762" s="31">
        <v>0</v>
      </c>
      <c r="I762" s="31">
        <f>SUMIF(dd_kuitansi[MAK],$A762,dd_kuitansi[Jumlah])</f>
        <v>0</v>
      </c>
      <c r="J762" s="31">
        <f>$G762-SUM($H762:$I762)</f>
        <v>45000000</v>
      </c>
    </row>
    <row r="763" spans="1:13" s="9" customFormat="1" x14ac:dyDescent="0.25">
      <c r="A763" s="39" t="s">
        <v>1121</v>
      </c>
      <c r="B763" s="29" t="s">
        <v>1</v>
      </c>
      <c r="C763" s="30" t="s">
        <v>58</v>
      </c>
      <c r="D763" s="31">
        <v>25</v>
      </c>
      <c r="E763" s="32" t="s">
        <v>36</v>
      </c>
      <c r="F763" s="31">
        <v>200000</v>
      </c>
      <c r="G763" s="31">
        <f>ROUNDDOWN($D763*$F763,-3)</f>
        <v>5000000</v>
      </c>
      <c r="H763" s="31">
        <v>0</v>
      </c>
      <c r="I763" s="31">
        <f>SUMIF(dd_kuitansi[MAK],$A763,dd_kuitansi[Jumlah])</f>
        <v>0</v>
      </c>
      <c r="J763" s="31">
        <f>$G763-SUM($H763:$I763)</f>
        <v>5000000</v>
      </c>
      <c r="M763" s="184"/>
    </row>
    <row r="764" spans="1:13" x14ac:dyDescent="0.25">
      <c r="A764" s="40" t="s">
        <v>434</v>
      </c>
      <c r="B764" s="25" t="s">
        <v>114</v>
      </c>
      <c r="C764" s="26" t="s">
        <v>240</v>
      </c>
      <c r="D764" s="27">
        <v>0</v>
      </c>
      <c r="E764" s="28" t="s">
        <v>1</v>
      </c>
      <c r="F764" s="27">
        <v>0</v>
      </c>
      <c r="G764" s="27">
        <f>SUM(G765,G772,G774,G776,G778)</f>
        <v>932662000</v>
      </c>
      <c r="H764" s="27">
        <f>SUM(H765,H772,H774,H776,H778)</f>
        <v>0</v>
      </c>
      <c r="I764" s="27">
        <f>SUM(I765,I772,I774,I776,I778)</f>
        <v>0</v>
      </c>
      <c r="J764" s="27">
        <f>SUM(J765,J772,J774,J776,J778)</f>
        <v>932662000</v>
      </c>
    </row>
    <row r="765" spans="1:13" s="9" customFormat="1" x14ac:dyDescent="0.25">
      <c r="A765" s="39" t="s">
        <v>654</v>
      </c>
      <c r="B765" s="17" t="s">
        <v>33</v>
      </c>
      <c r="C765" s="18" t="s">
        <v>34</v>
      </c>
      <c r="D765" s="19">
        <v>0</v>
      </c>
      <c r="E765" s="20" t="s">
        <v>1</v>
      </c>
      <c r="F765" s="19">
        <v>0</v>
      </c>
      <c r="G765" s="19">
        <f>SUM(G766:G771)</f>
        <v>79200000</v>
      </c>
      <c r="H765" s="19">
        <f>SUM(H766:H771)</f>
        <v>0</v>
      </c>
      <c r="I765" s="19">
        <f>SUM(I766:I771)</f>
        <v>0</v>
      </c>
      <c r="J765" s="19">
        <f>SUM(J766:J771)</f>
        <v>79200000</v>
      </c>
      <c r="M765" s="184"/>
    </row>
    <row r="766" spans="1:13" x14ac:dyDescent="0.25">
      <c r="A766" s="40" t="s">
        <v>1122</v>
      </c>
      <c r="B766" s="29" t="s">
        <v>1</v>
      </c>
      <c r="C766" s="30" t="s">
        <v>37</v>
      </c>
      <c r="D766" s="31">
        <v>6</v>
      </c>
      <c r="E766" s="32" t="s">
        <v>16</v>
      </c>
      <c r="F766" s="31">
        <v>1500000</v>
      </c>
      <c r="G766" s="31">
        <f>ROUNDDOWN($D766*$F766,-3)</f>
        <v>9000000</v>
      </c>
      <c r="H766" s="31">
        <v>0</v>
      </c>
      <c r="I766" s="31">
        <f>SUMIF(dd_kuitansi[MAK],$A766,dd_kuitansi[Jumlah])</f>
        <v>0</v>
      </c>
      <c r="J766" s="31">
        <f>$G766-SUM($H766:$I766)</f>
        <v>9000000</v>
      </c>
    </row>
    <row r="767" spans="1:13" x14ac:dyDescent="0.25">
      <c r="A767" s="40" t="s">
        <v>1123</v>
      </c>
      <c r="B767" s="29" t="s">
        <v>1</v>
      </c>
      <c r="C767" s="30" t="s">
        <v>45</v>
      </c>
      <c r="D767" s="31">
        <v>6</v>
      </c>
      <c r="E767" s="32" t="s">
        <v>16</v>
      </c>
      <c r="F767" s="31">
        <v>1000000</v>
      </c>
      <c r="G767" s="31">
        <f>ROUNDDOWN($D767*$F767,-3)</f>
        <v>6000000</v>
      </c>
      <c r="H767" s="31">
        <v>0</v>
      </c>
      <c r="I767" s="31">
        <f>SUMIF(dd_kuitansi[MAK],$A767,dd_kuitansi[Jumlah])</f>
        <v>0</v>
      </c>
      <c r="J767" s="31">
        <f>$G767-SUM($H767:$I767)</f>
        <v>6000000</v>
      </c>
    </row>
    <row r="768" spans="1:13" x14ac:dyDescent="0.25">
      <c r="A768" s="40" t="s">
        <v>1124</v>
      </c>
      <c r="B768" s="29" t="s">
        <v>1</v>
      </c>
      <c r="C768" s="30" t="s">
        <v>43</v>
      </c>
      <c r="D768" s="31">
        <v>6</v>
      </c>
      <c r="E768" s="32" t="s">
        <v>16</v>
      </c>
      <c r="F768" s="31">
        <v>1500000</v>
      </c>
      <c r="G768" s="31">
        <f>ROUNDDOWN($D768*$F768,-3)</f>
        <v>9000000</v>
      </c>
      <c r="H768" s="31">
        <v>0</v>
      </c>
      <c r="I768" s="31">
        <f>SUMIF(dd_kuitansi[MAK],$A768,dd_kuitansi[Jumlah])</f>
        <v>0</v>
      </c>
      <c r="J768" s="31">
        <f>$G768-SUM($H768:$I768)</f>
        <v>9000000</v>
      </c>
    </row>
    <row r="769" spans="1:13" x14ac:dyDescent="0.25">
      <c r="A769" s="40"/>
      <c r="B769" s="29" t="s">
        <v>1</v>
      </c>
      <c r="C769" s="33" t="s">
        <v>78</v>
      </c>
      <c r="D769" s="31">
        <v>0</v>
      </c>
      <c r="E769" s="32" t="s">
        <v>1</v>
      </c>
      <c r="F769" s="31">
        <v>0</v>
      </c>
      <c r="G769" s="31">
        <v>0</v>
      </c>
      <c r="H769" s="31">
        <v>0</v>
      </c>
      <c r="I769" s="31">
        <v>0</v>
      </c>
      <c r="J769" s="31">
        <v>0</v>
      </c>
    </row>
    <row r="770" spans="1:13" s="9" customFormat="1" x14ac:dyDescent="0.25">
      <c r="A770" s="39" t="s">
        <v>1125</v>
      </c>
      <c r="B770" s="29" t="s">
        <v>1</v>
      </c>
      <c r="C770" s="30" t="s">
        <v>79</v>
      </c>
      <c r="D770" s="31">
        <v>300</v>
      </c>
      <c r="E770" s="32" t="s">
        <v>36</v>
      </c>
      <c r="F770" s="31">
        <v>69000</v>
      </c>
      <c r="G770" s="31">
        <f>ROUNDDOWN($D770*$F770,-3)</f>
        <v>20700000</v>
      </c>
      <c r="H770" s="31">
        <v>0</v>
      </c>
      <c r="I770" s="31">
        <f>SUMIF(dd_kuitansi[MAK],$A770,dd_kuitansi[Jumlah])</f>
        <v>0</v>
      </c>
      <c r="J770" s="31">
        <f>$G770-SUM($H770:$I770)</f>
        <v>20700000</v>
      </c>
      <c r="M770" s="184"/>
    </row>
    <row r="771" spans="1:13" s="9" customFormat="1" x14ac:dyDescent="0.25">
      <c r="A771" s="39" t="s">
        <v>1126</v>
      </c>
      <c r="B771" s="29" t="s">
        <v>1</v>
      </c>
      <c r="C771" s="30" t="s">
        <v>241</v>
      </c>
      <c r="D771" s="31">
        <v>500</v>
      </c>
      <c r="E771" s="32" t="s">
        <v>36</v>
      </c>
      <c r="F771" s="31">
        <v>69000</v>
      </c>
      <c r="G771" s="31">
        <f>ROUNDDOWN($D771*$F771,-3)</f>
        <v>34500000</v>
      </c>
      <c r="H771" s="31">
        <v>0</v>
      </c>
      <c r="I771" s="31">
        <f>SUMIF(dd_kuitansi[MAK],$A771,dd_kuitansi[Jumlah])</f>
        <v>0</v>
      </c>
      <c r="J771" s="31">
        <f>$G771-SUM($H771:$I771)</f>
        <v>34500000</v>
      </c>
      <c r="M771" s="184"/>
    </row>
    <row r="772" spans="1:13" x14ac:dyDescent="0.25">
      <c r="A772" s="40" t="s">
        <v>655</v>
      </c>
      <c r="B772" s="17" t="s">
        <v>38</v>
      </c>
      <c r="C772" s="18" t="s">
        <v>39</v>
      </c>
      <c r="D772" s="19">
        <v>0</v>
      </c>
      <c r="E772" s="20" t="s">
        <v>1</v>
      </c>
      <c r="F772" s="19">
        <v>0</v>
      </c>
      <c r="G772" s="19">
        <f>G773</f>
        <v>529200000</v>
      </c>
      <c r="H772" s="19">
        <f>H773</f>
        <v>0</v>
      </c>
      <c r="I772" s="19">
        <f>I773</f>
        <v>0</v>
      </c>
      <c r="J772" s="19">
        <f>J773</f>
        <v>529200000</v>
      </c>
    </row>
    <row r="773" spans="1:13" ht="25.5" x14ac:dyDescent="0.25">
      <c r="A773" s="40" t="s">
        <v>1127</v>
      </c>
      <c r="B773" s="29" t="s">
        <v>1</v>
      </c>
      <c r="C773" s="30" t="s">
        <v>242</v>
      </c>
      <c r="D773" s="31">
        <v>8820</v>
      </c>
      <c r="E773" s="32" t="s">
        <v>16</v>
      </c>
      <c r="F773" s="31">
        <v>60000</v>
      </c>
      <c r="G773" s="31">
        <f>ROUNDDOWN($D773*$F773,-3)</f>
        <v>529200000</v>
      </c>
      <c r="H773" s="31">
        <v>0</v>
      </c>
      <c r="I773" s="31">
        <f>SUMIF(dd_kuitansi[MAK],$A773,dd_kuitansi[Jumlah])</f>
        <v>0</v>
      </c>
      <c r="J773" s="31">
        <f>$G773-SUM($H773:$I773)</f>
        <v>529200000</v>
      </c>
    </row>
    <row r="774" spans="1:13" x14ac:dyDescent="0.25">
      <c r="A774" s="40" t="s">
        <v>656</v>
      </c>
      <c r="B774" s="17" t="s">
        <v>46</v>
      </c>
      <c r="C774" s="18" t="s">
        <v>47</v>
      </c>
      <c r="D774" s="19">
        <v>0</v>
      </c>
      <c r="E774" s="20" t="s">
        <v>1</v>
      </c>
      <c r="F774" s="19">
        <v>0</v>
      </c>
      <c r="G774" s="19">
        <f>G775</f>
        <v>70000000</v>
      </c>
      <c r="H774" s="19">
        <f>H775</f>
        <v>0</v>
      </c>
      <c r="I774" s="19">
        <f>I775</f>
        <v>0</v>
      </c>
      <c r="J774" s="19">
        <f>J775</f>
        <v>70000000</v>
      </c>
    </row>
    <row r="775" spans="1:13" x14ac:dyDescent="0.25">
      <c r="A775" s="40" t="s">
        <v>1128</v>
      </c>
      <c r="B775" s="29" t="s">
        <v>1</v>
      </c>
      <c r="C775" s="30" t="s">
        <v>82</v>
      </c>
      <c r="D775" s="31">
        <v>70</v>
      </c>
      <c r="E775" s="32" t="s">
        <v>49</v>
      </c>
      <c r="F775" s="31">
        <v>1000000</v>
      </c>
      <c r="G775" s="31">
        <f>ROUNDDOWN($D775*$F775,-3)</f>
        <v>70000000</v>
      </c>
      <c r="H775" s="31">
        <v>0</v>
      </c>
      <c r="I775" s="31">
        <f>SUMIF(dd_kuitansi[MAK],$A775,dd_kuitansi[Jumlah])</f>
        <v>0</v>
      </c>
      <c r="J775" s="31">
        <f>$G775-SUM($H775:$I775)</f>
        <v>70000000</v>
      </c>
    </row>
    <row r="776" spans="1:13" x14ac:dyDescent="0.25">
      <c r="A776" s="40" t="s">
        <v>657</v>
      </c>
      <c r="B776" s="17" t="s">
        <v>50</v>
      </c>
      <c r="C776" s="18" t="s">
        <v>51</v>
      </c>
      <c r="D776" s="19">
        <v>0</v>
      </c>
      <c r="E776" s="20" t="s">
        <v>1</v>
      </c>
      <c r="F776" s="19">
        <v>0</v>
      </c>
      <c r="G776" s="19">
        <f>G777</f>
        <v>184262000</v>
      </c>
      <c r="H776" s="19">
        <f>H777</f>
        <v>0</v>
      </c>
      <c r="I776" s="19">
        <f>I777</f>
        <v>0</v>
      </c>
      <c r="J776" s="19">
        <f>J777</f>
        <v>184262000</v>
      </c>
    </row>
    <row r="777" spans="1:13" x14ac:dyDescent="0.25">
      <c r="A777" s="40" t="s">
        <v>1129</v>
      </c>
      <c r="B777" s="29" t="s">
        <v>1</v>
      </c>
      <c r="C777" s="30" t="s">
        <v>243</v>
      </c>
      <c r="D777" s="31">
        <v>30</v>
      </c>
      <c r="E777" s="32" t="s">
        <v>36</v>
      </c>
      <c r="F777" s="31">
        <v>6142067</v>
      </c>
      <c r="G777" s="31">
        <f>ROUNDDOWN($D777*$F777,-3)</f>
        <v>184262000</v>
      </c>
      <c r="H777" s="31">
        <v>0</v>
      </c>
      <c r="I777" s="31">
        <f>SUMIF(dd_kuitansi[MAK],$A777,dd_kuitansi[Jumlah])</f>
        <v>0</v>
      </c>
      <c r="J777" s="31">
        <f>$G777-SUM($H777:$I777)</f>
        <v>184262000</v>
      </c>
    </row>
    <row r="778" spans="1:13" s="9" customFormat="1" x14ac:dyDescent="0.25">
      <c r="A778" s="39" t="s">
        <v>658</v>
      </c>
      <c r="B778" s="17" t="s">
        <v>54</v>
      </c>
      <c r="C778" s="18" t="s">
        <v>55</v>
      </c>
      <c r="D778" s="19">
        <v>0</v>
      </c>
      <c r="E778" s="20" t="s">
        <v>1</v>
      </c>
      <c r="F778" s="19">
        <v>0</v>
      </c>
      <c r="G778" s="31">
        <f>SUM(G779:G781)</f>
        <v>70000000</v>
      </c>
      <c r="H778" s="31">
        <f>SUM(H779:H781)</f>
        <v>0</v>
      </c>
      <c r="I778" s="31">
        <f>SUM(I779:I781)</f>
        <v>0</v>
      </c>
      <c r="J778" s="31">
        <f>SUM(J779:J781)</f>
        <v>70000000</v>
      </c>
      <c r="M778" s="184"/>
    </row>
    <row r="779" spans="1:13" x14ac:dyDescent="0.25">
      <c r="A779" s="40" t="s">
        <v>1130</v>
      </c>
      <c r="B779" s="29" t="s">
        <v>1</v>
      </c>
      <c r="C779" s="30" t="s">
        <v>56</v>
      </c>
      <c r="D779" s="31">
        <v>20</v>
      </c>
      <c r="E779" s="32" t="s">
        <v>36</v>
      </c>
      <c r="F779" s="31">
        <v>300000</v>
      </c>
      <c r="G779" s="31">
        <f>ROUNDDOWN($D779*$F779,-3)</f>
        <v>6000000</v>
      </c>
      <c r="H779" s="31">
        <v>0</v>
      </c>
      <c r="I779" s="31">
        <f>SUMIF(dd_kuitansi[MAK],$A779,dd_kuitansi[Jumlah])</f>
        <v>0</v>
      </c>
      <c r="J779" s="31">
        <f>$G779-SUM($H779:$I779)</f>
        <v>6000000</v>
      </c>
    </row>
    <row r="780" spans="1:13" s="9" customFormat="1" x14ac:dyDescent="0.25">
      <c r="A780" s="39" t="s">
        <v>1131</v>
      </c>
      <c r="B780" s="29" t="s">
        <v>1</v>
      </c>
      <c r="C780" s="30" t="s">
        <v>57</v>
      </c>
      <c r="D780" s="31">
        <v>240</v>
      </c>
      <c r="E780" s="32" t="s">
        <v>36</v>
      </c>
      <c r="F780" s="31">
        <v>250000</v>
      </c>
      <c r="G780" s="31">
        <f>ROUNDDOWN($D780*$F780,-3)</f>
        <v>60000000</v>
      </c>
      <c r="H780" s="31">
        <v>0</v>
      </c>
      <c r="I780" s="31">
        <f>SUMIF(dd_kuitansi[MAK],$A780,dd_kuitansi[Jumlah])</f>
        <v>0</v>
      </c>
      <c r="J780" s="31">
        <f>$G780-SUM($H780:$I780)</f>
        <v>60000000</v>
      </c>
      <c r="M780" s="184"/>
    </row>
    <row r="781" spans="1:13" x14ac:dyDescent="0.25">
      <c r="A781" s="40" t="s">
        <v>1132</v>
      </c>
      <c r="B781" s="29" t="s">
        <v>1</v>
      </c>
      <c r="C781" s="30" t="s">
        <v>58</v>
      </c>
      <c r="D781" s="31">
        <v>20</v>
      </c>
      <c r="E781" s="32" t="s">
        <v>36</v>
      </c>
      <c r="F781" s="31">
        <v>200000</v>
      </c>
      <c r="G781" s="31">
        <f>ROUNDDOWN($D781*$F781,-3)</f>
        <v>4000000</v>
      </c>
      <c r="H781" s="31">
        <v>0</v>
      </c>
      <c r="I781" s="31">
        <f>SUMIF(dd_kuitansi[MAK],$A781,dd_kuitansi[Jumlah])</f>
        <v>0</v>
      </c>
      <c r="J781" s="31">
        <f>$G781-SUM($H781:$I781)</f>
        <v>4000000</v>
      </c>
    </row>
    <row r="782" spans="1:13" s="9" customFormat="1" x14ac:dyDescent="0.25">
      <c r="A782" s="39" t="s">
        <v>244</v>
      </c>
      <c r="B782" s="13" t="s">
        <v>244</v>
      </c>
      <c r="C782" s="14" t="s">
        <v>245</v>
      </c>
      <c r="D782" s="15">
        <v>1</v>
      </c>
      <c r="E782" s="16" t="s">
        <v>73</v>
      </c>
      <c r="F782" s="15">
        <v>0</v>
      </c>
      <c r="G782" s="15">
        <f>G783</f>
        <v>10078004000</v>
      </c>
      <c r="H782" s="15">
        <f>H783</f>
        <v>0</v>
      </c>
      <c r="I782" s="15">
        <f>I783</f>
        <v>0</v>
      </c>
      <c r="J782" s="15">
        <f>J783</f>
        <v>10078004000</v>
      </c>
      <c r="M782" s="184"/>
    </row>
    <row r="783" spans="1:13" x14ac:dyDescent="0.25">
      <c r="A783" s="40" t="s">
        <v>246</v>
      </c>
      <c r="B783" s="17" t="s">
        <v>246</v>
      </c>
      <c r="C783" s="18" t="s">
        <v>247</v>
      </c>
      <c r="D783" s="19">
        <v>0</v>
      </c>
      <c r="E783" s="20" t="s">
        <v>1</v>
      </c>
      <c r="F783" s="19">
        <v>0</v>
      </c>
      <c r="G783" s="19">
        <f>SUM(G784,G827)</f>
        <v>10078004000</v>
      </c>
      <c r="H783" s="19">
        <f>SUM(H784,H827)</f>
        <v>0</v>
      </c>
      <c r="I783" s="19">
        <f>SUM(I784,I827)</f>
        <v>0</v>
      </c>
      <c r="J783" s="19">
        <f>SUM(J784,J827)</f>
        <v>10078004000</v>
      </c>
    </row>
    <row r="784" spans="1:13" s="9" customFormat="1" x14ac:dyDescent="0.25">
      <c r="A784" s="39" t="s">
        <v>388</v>
      </c>
      <c r="B784" s="21" t="s">
        <v>248</v>
      </c>
      <c r="C784" s="22" t="s">
        <v>249</v>
      </c>
      <c r="D784" s="23">
        <v>0</v>
      </c>
      <c r="E784" s="24" t="s">
        <v>1</v>
      </c>
      <c r="F784" s="23">
        <v>0</v>
      </c>
      <c r="G784" s="23">
        <f>SUM(G785,G822)</f>
        <v>7726539000</v>
      </c>
      <c r="H784" s="23">
        <f>SUM(H785,H822)</f>
        <v>0</v>
      </c>
      <c r="I784" s="23">
        <f>SUM(I785,I822)</f>
        <v>0</v>
      </c>
      <c r="J784" s="23">
        <f>SUM(J785,J822)</f>
        <v>7726539000</v>
      </c>
      <c r="M784" s="184"/>
    </row>
    <row r="785" spans="1:13" x14ac:dyDescent="0.25">
      <c r="A785" s="40" t="s">
        <v>435</v>
      </c>
      <c r="B785" s="25" t="s">
        <v>11</v>
      </c>
      <c r="C785" s="26" t="s">
        <v>250</v>
      </c>
      <c r="D785" s="27">
        <v>0</v>
      </c>
      <c r="E785" s="28" t="s">
        <v>1</v>
      </c>
      <c r="F785" s="27">
        <v>0</v>
      </c>
      <c r="G785" s="27">
        <f>SUM(G786,G790,G794,G798,G802,G806,G810,G814,G816,G818)</f>
        <v>4124125000</v>
      </c>
      <c r="H785" s="27">
        <f>SUM(H786,H790,H794,H798,H802,H806,H810,H814,H816,H818)</f>
        <v>0</v>
      </c>
      <c r="I785" s="27">
        <f>SUM(I786,I790,I794,I798,I802,I806,I810,I814,I816,I818)</f>
        <v>0</v>
      </c>
      <c r="J785" s="27">
        <f>SUM(J786,J790,J794,J798,J802,J806,J810,J814,J816,J818)</f>
        <v>4124125000</v>
      </c>
    </row>
    <row r="786" spans="1:13" x14ac:dyDescent="0.25">
      <c r="A786" s="40" t="s">
        <v>659</v>
      </c>
      <c r="B786" s="17" t="s">
        <v>251</v>
      </c>
      <c r="C786" s="18" t="s">
        <v>252</v>
      </c>
      <c r="D786" s="19">
        <v>0</v>
      </c>
      <c r="E786" s="20" t="s">
        <v>1</v>
      </c>
      <c r="F786" s="19">
        <v>0</v>
      </c>
      <c r="G786" s="31">
        <f>SUM(G787:G789)</f>
        <v>2940847000</v>
      </c>
      <c r="H786" s="31">
        <f>SUM(H787:H789)</f>
        <v>0</v>
      </c>
      <c r="I786" s="31">
        <f>SUM(I787:I789)</f>
        <v>0</v>
      </c>
      <c r="J786" s="31">
        <f>SUM(J787:J789)</f>
        <v>2940847000</v>
      </c>
    </row>
    <row r="787" spans="1:13" x14ac:dyDescent="0.25">
      <c r="A787" s="40" t="s">
        <v>1133</v>
      </c>
      <c r="B787" s="29" t="s">
        <v>1</v>
      </c>
      <c r="C787" s="30" t="s">
        <v>253</v>
      </c>
      <c r="D787" s="31">
        <v>1</v>
      </c>
      <c r="E787" s="32" t="s">
        <v>101</v>
      </c>
      <c r="F787" s="31">
        <v>2544725000</v>
      </c>
      <c r="G787" s="31">
        <f>ROUNDDOWN($D787*$F787,-3)</f>
        <v>2544725000</v>
      </c>
      <c r="H787" s="31">
        <v>0</v>
      </c>
      <c r="I787" s="31">
        <f>SUMIF(dd_kuitansi[MAK],$A787,dd_kuitansi[Jumlah])</f>
        <v>0</v>
      </c>
      <c r="J787" s="31">
        <f>$G787-SUM($H787:$I787)</f>
        <v>2544725000</v>
      </c>
    </row>
    <row r="788" spans="1:13" s="9" customFormat="1" x14ac:dyDescent="0.25">
      <c r="A788" s="39" t="s">
        <v>1134</v>
      </c>
      <c r="B788" s="29" t="s">
        <v>1</v>
      </c>
      <c r="C788" s="30" t="s">
        <v>254</v>
      </c>
      <c r="D788" s="31">
        <v>1</v>
      </c>
      <c r="E788" s="32" t="s">
        <v>218</v>
      </c>
      <c r="F788" s="31">
        <v>198061000</v>
      </c>
      <c r="G788" s="31">
        <f>ROUNDDOWN($D788*$F788,-3)</f>
        <v>198061000</v>
      </c>
      <c r="H788" s="31">
        <v>0</v>
      </c>
      <c r="I788" s="31">
        <f>SUMIF(dd_kuitansi[MAK],$A788,dd_kuitansi[Jumlah])</f>
        <v>0</v>
      </c>
      <c r="J788" s="31">
        <f>$G788-SUM($H788:$I788)</f>
        <v>198061000</v>
      </c>
      <c r="M788" s="184"/>
    </row>
    <row r="789" spans="1:13" s="9" customFormat="1" x14ac:dyDescent="0.25">
      <c r="A789" s="39" t="s">
        <v>1135</v>
      </c>
      <c r="B789" s="29" t="s">
        <v>1</v>
      </c>
      <c r="C789" s="30" t="s">
        <v>255</v>
      </c>
      <c r="D789" s="31">
        <v>1</v>
      </c>
      <c r="E789" s="32" t="s">
        <v>218</v>
      </c>
      <c r="F789" s="31">
        <v>198061000</v>
      </c>
      <c r="G789" s="31">
        <f>ROUNDDOWN($D789*$F789,-3)</f>
        <v>198061000</v>
      </c>
      <c r="H789" s="31">
        <v>0</v>
      </c>
      <c r="I789" s="31">
        <f>SUMIF(dd_kuitansi[MAK],$A789,dd_kuitansi[Jumlah])</f>
        <v>0</v>
      </c>
      <c r="J789" s="31">
        <f>$G789-SUM($H789:$I789)</f>
        <v>198061000</v>
      </c>
      <c r="M789" s="184"/>
    </row>
    <row r="790" spans="1:13" s="9" customFormat="1" x14ac:dyDescent="0.25">
      <c r="A790" s="39" t="s">
        <v>660</v>
      </c>
      <c r="B790" s="17" t="s">
        <v>256</v>
      </c>
      <c r="C790" s="18" t="s">
        <v>257</v>
      </c>
      <c r="D790" s="19">
        <v>0</v>
      </c>
      <c r="E790" s="20" t="s">
        <v>1</v>
      </c>
      <c r="F790" s="19">
        <v>0</v>
      </c>
      <c r="G790" s="31">
        <f>SUM(G791:G793)</f>
        <v>51000</v>
      </c>
      <c r="H790" s="31">
        <f>SUM(H791:H793)</f>
        <v>0</v>
      </c>
      <c r="I790" s="31">
        <f>SUM(I791:I793)</f>
        <v>0</v>
      </c>
      <c r="J790" s="31">
        <f>SUM(J791:J793)</f>
        <v>51000</v>
      </c>
      <c r="M790" s="184"/>
    </row>
    <row r="791" spans="1:13" s="9" customFormat="1" x14ac:dyDescent="0.25">
      <c r="A791" s="39" t="s">
        <v>1136</v>
      </c>
      <c r="B791" s="29" t="s">
        <v>1</v>
      </c>
      <c r="C791" s="30" t="s">
        <v>258</v>
      </c>
      <c r="D791" s="31">
        <v>1</v>
      </c>
      <c r="E791" s="32" t="s">
        <v>101</v>
      </c>
      <c r="F791" s="31">
        <v>45000</v>
      </c>
      <c r="G791" s="31">
        <f>ROUNDDOWN($D791*$F791,-3)</f>
        <v>45000</v>
      </c>
      <c r="H791" s="31">
        <v>0</v>
      </c>
      <c r="I791" s="31">
        <f>SUMIF(dd_kuitansi[MAK],$A791,dd_kuitansi[Jumlah])</f>
        <v>0</v>
      </c>
      <c r="J791" s="31">
        <f>$G791-SUM($H791:$I791)</f>
        <v>45000</v>
      </c>
      <c r="M791" s="184"/>
    </row>
    <row r="792" spans="1:13" s="9" customFormat="1" x14ac:dyDescent="0.25">
      <c r="A792" s="39" t="s">
        <v>1137</v>
      </c>
      <c r="B792" s="29" t="s">
        <v>1</v>
      </c>
      <c r="C792" s="30" t="s">
        <v>259</v>
      </c>
      <c r="D792" s="31">
        <v>1</v>
      </c>
      <c r="E792" s="32" t="s">
        <v>218</v>
      </c>
      <c r="F792" s="31">
        <v>3000</v>
      </c>
      <c r="G792" s="31">
        <f>ROUNDDOWN($D792*$F792,-3)</f>
        <v>3000</v>
      </c>
      <c r="H792" s="31">
        <v>0</v>
      </c>
      <c r="I792" s="31">
        <f>SUMIF(dd_kuitansi[MAK],$A792,dd_kuitansi[Jumlah])</f>
        <v>0</v>
      </c>
      <c r="J792" s="31">
        <f>$G792-SUM($H792:$I792)</f>
        <v>3000</v>
      </c>
      <c r="M792" s="184"/>
    </row>
    <row r="793" spans="1:13" x14ac:dyDescent="0.25">
      <c r="A793" s="40" t="s">
        <v>1138</v>
      </c>
      <c r="B793" s="29" t="s">
        <v>1</v>
      </c>
      <c r="C793" s="30" t="s">
        <v>260</v>
      </c>
      <c r="D793" s="31">
        <v>1</v>
      </c>
      <c r="E793" s="32" t="s">
        <v>218</v>
      </c>
      <c r="F793" s="31">
        <v>3000</v>
      </c>
      <c r="G793" s="31">
        <f>ROUNDDOWN($D793*$F793,-3)</f>
        <v>3000</v>
      </c>
      <c r="H793" s="31">
        <v>0</v>
      </c>
      <c r="I793" s="31">
        <f>SUMIF(dd_kuitansi[MAK],$A793,dd_kuitansi[Jumlah])</f>
        <v>0</v>
      </c>
      <c r="J793" s="31">
        <f>$G793-SUM($H793:$I793)</f>
        <v>3000</v>
      </c>
    </row>
    <row r="794" spans="1:13" x14ac:dyDescent="0.25">
      <c r="A794" s="40" t="s">
        <v>661</v>
      </c>
      <c r="B794" s="17" t="s">
        <v>261</v>
      </c>
      <c r="C794" s="18" t="s">
        <v>262</v>
      </c>
      <c r="D794" s="19">
        <v>0</v>
      </c>
      <c r="E794" s="20" t="s">
        <v>1</v>
      </c>
      <c r="F794" s="19">
        <v>0</v>
      </c>
      <c r="G794" s="31">
        <f>SUM(G795:G797)</f>
        <v>225161000</v>
      </c>
      <c r="H794" s="31">
        <f>SUM(H795:H797)</f>
        <v>0</v>
      </c>
      <c r="I794" s="31">
        <f>SUM(I795:I797)</f>
        <v>0</v>
      </c>
      <c r="J794" s="31">
        <f>SUM(J795:J797)</f>
        <v>225161000</v>
      </c>
    </row>
    <row r="795" spans="1:13" x14ac:dyDescent="0.25">
      <c r="A795" s="40" t="s">
        <v>1139</v>
      </c>
      <c r="B795" s="29" t="s">
        <v>1</v>
      </c>
      <c r="C795" s="30" t="s">
        <v>263</v>
      </c>
      <c r="D795" s="31">
        <v>1</v>
      </c>
      <c r="E795" s="32" t="s">
        <v>101</v>
      </c>
      <c r="F795" s="31">
        <v>190785000</v>
      </c>
      <c r="G795" s="31">
        <f>ROUNDDOWN($D795*$F795,-3)</f>
        <v>190785000</v>
      </c>
      <c r="H795" s="31">
        <v>0</v>
      </c>
      <c r="I795" s="31">
        <f>SUMIF(dd_kuitansi[MAK],$A795,dd_kuitansi[Jumlah])</f>
        <v>0</v>
      </c>
      <c r="J795" s="31">
        <f>$G795-SUM($H795:$I795)</f>
        <v>190785000</v>
      </c>
    </row>
    <row r="796" spans="1:13" s="9" customFormat="1" x14ac:dyDescent="0.25">
      <c r="A796" s="39" t="s">
        <v>1140</v>
      </c>
      <c r="B796" s="29" t="s">
        <v>1</v>
      </c>
      <c r="C796" s="30" t="s">
        <v>259</v>
      </c>
      <c r="D796" s="31">
        <v>1</v>
      </c>
      <c r="E796" s="32" t="s">
        <v>218</v>
      </c>
      <c r="F796" s="31">
        <v>17188000</v>
      </c>
      <c r="G796" s="31">
        <f>ROUNDDOWN($D796*$F796,-3)</f>
        <v>17188000</v>
      </c>
      <c r="H796" s="31">
        <v>0</v>
      </c>
      <c r="I796" s="31">
        <f>SUMIF(dd_kuitansi[MAK],$A796,dd_kuitansi[Jumlah])</f>
        <v>0</v>
      </c>
      <c r="J796" s="31">
        <f>$G796-SUM($H796:$I796)</f>
        <v>17188000</v>
      </c>
      <c r="M796" s="184"/>
    </row>
    <row r="797" spans="1:13" x14ac:dyDescent="0.25">
      <c r="A797" s="40" t="s">
        <v>1141</v>
      </c>
      <c r="B797" s="29" t="s">
        <v>1</v>
      </c>
      <c r="C797" s="30" t="s">
        <v>260</v>
      </c>
      <c r="D797" s="31">
        <v>1</v>
      </c>
      <c r="E797" s="32" t="s">
        <v>218</v>
      </c>
      <c r="F797" s="31">
        <v>17188000</v>
      </c>
      <c r="G797" s="31">
        <f>ROUNDDOWN($D797*$F797,-3)</f>
        <v>17188000</v>
      </c>
      <c r="H797" s="31">
        <v>0</v>
      </c>
      <c r="I797" s="31">
        <f>SUMIF(dd_kuitansi[MAK],$A797,dd_kuitansi[Jumlah])</f>
        <v>0</v>
      </c>
      <c r="J797" s="31">
        <f>$G797-SUM($H797:$I797)</f>
        <v>17188000</v>
      </c>
    </row>
    <row r="798" spans="1:13" x14ac:dyDescent="0.25">
      <c r="A798" s="40" t="s">
        <v>662</v>
      </c>
      <c r="B798" s="17" t="s">
        <v>264</v>
      </c>
      <c r="C798" s="18" t="s">
        <v>265</v>
      </c>
      <c r="D798" s="19">
        <v>0</v>
      </c>
      <c r="E798" s="20" t="s">
        <v>1</v>
      </c>
      <c r="F798" s="19">
        <v>0</v>
      </c>
      <c r="G798" s="31">
        <f>SUM(G799:G801)</f>
        <v>65322000</v>
      </c>
      <c r="H798" s="31">
        <f>SUM(H799:H801)</f>
        <v>0</v>
      </c>
      <c r="I798" s="31">
        <f>SUM(I799:I801)</f>
        <v>0</v>
      </c>
      <c r="J798" s="31">
        <f>SUM(J799:J801)</f>
        <v>65322000</v>
      </c>
    </row>
    <row r="799" spans="1:13" x14ac:dyDescent="0.25">
      <c r="A799" s="40" t="s">
        <v>1142</v>
      </c>
      <c r="B799" s="29" t="s">
        <v>1</v>
      </c>
      <c r="C799" s="30" t="s">
        <v>266</v>
      </c>
      <c r="D799" s="31">
        <v>1</v>
      </c>
      <c r="E799" s="32" t="s">
        <v>101</v>
      </c>
      <c r="F799" s="31">
        <v>53601000</v>
      </c>
      <c r="G799" s="31">
        <f>ROUNDDOWN($D799*$F799,-3)</f>
        <v>53601000</v>
      </c>
      <c r="H799" s="31">
        <v>0</v>
      </c>
      <c r="I799" s="31">
        <f>SUMIF(dd_kuitansi[MAK],$A799,dd_kuitansi[Jumlah])</f>
        <v>0</v>
      </c>
      <c r="J799" s="31">
        <f>$G799-SUM($H799:$I799)</f>
        <v>53601000</v>
      </c>
    </row>
    <row r="800" spans="1:13" s="9" customFormat="1" x14ac:dyDescent="0.25">
      <c r="A800" s="39" t="s">
        <v>1143</v>
      </c>
      <c r="B800" s="29" t="s">
        <v>1</v>
      </c>
      <c r="C800" s="30" t="s">
        <v>267</v>
      </c>
      <c r="D800" s="31">
        <v>1</v>
      </c>
      <c r="E800" s="32" t="s">
        <v>218</v>
      </c>
      <c r="F800" s="31">
        <v>6871000</v>
      </c>
      <c r="G800" s="31">
        <f>ROUNDDOWN($D800*$F800,-3)</f>
        <v>6871000</v>
      </c>
      <c r="H800" s="31">
        <v>0</v>
      </c>
      <c r="I800" s="31">
        <f>SUMIF(dd_kuitansi[MAK],$A800,dd_kuitansi[Jumlah])</f>
        <v>0</v>
      </c>
      <c r="J800" s="31">
        <f>$G800-SUM($H800:$I800)</f>
        <v>6871000</v>
      </c>
      <c r="M800" s="184"/>
    </row>
    <row r="801" spans="1:13" x14ac:dyDescent="0.25">
      <c r="A801" s="40" t="s">
        <v>1144</v>
      </c>
      <c r="B801" s="29" t="s">
        <v>1</v>
      </c>
      <c r="C801" s="30" t="s">
        <v>268</v>
      </c>
      <c r="D801" s="31">
        <v>1</v>
      </c>
      <c r="E801" s="32" t="s">
        <v>218</v>
      </c>
      <c r="F801" s="31">
        <v>4850000</v>
      </c>
      <c r="G801" s="31">
        <f>ROUNDDOWN($D801*$F801,-3)</f>
        <v>4850000</v>
      </c>
      <c r="H801" s="31">
        <v>0</v>
      </c>
      <c r="I801" s="31">
        <f>SUMIF(dd_kuitansi[MAK],$A801,dd_kuitansi[Jumlah])</f>
        <v>0</v>
      </c>
      <c r="J801" s="31">
        <f>$G801-SUM($H801:$I801)</f>
        <v>4850000</v>
      </c>
    </row>
    <row r="802" spans="1:13" x14ac:dyDescent="0.25">
      <c r="A802" s="40" t="s">
        <v>663</v>
      </c>
      <c r="B802" s="17" t="s">
        <v>269</v>
      </c>
      <c r="C802" s="18" t="s">
        <v>270</v>
      </c>
      <c r="D802" s="19">
        <v>0</v>
      </c>
      <c r="E802" s="20" t="s">
        <v>1</v>
      </c>
      <c r="F802" s="19">
        <v>0</v>
      </c>
      <c r="G802" s="31">
        <f>SUM(G803:G805)</f>
        <v>167540000</v>
      </c>
      <c r="H802" s="31">
        <f>SUM(H803:H805)</f>
        <v>0</v>
      </c>
      <c r="I802" s="31">
        <f>SUM(I803:I805)</f>
        <v>0</v>
      </c>
      <c r="J802" s="31">
        <f>SUM(J803:J805)</f>
        <v>167540000</v>
      </c>
    </row>
    <row r="803" spans="1:13" x14ac:dyDescent="0.25">
      <c r="A803" s="40" t="s">
        <v>1145</v>
      </c>
      <c r="B803" s="29" t="s">
        <v>1</v>
      </c>
      <c r="C803" s="30" t="s">
        <v>271</v>
      </c>
      <c r="D803" s="31">
        <v>1</v>
      </c>
      <c r="E803" s="32" t="s">
        <v>101</v>
      </c>
      <c r="F803" s="31">
        <v>142320000</v>
      </c>
      <c r="G803" s="31">
        <f>ROUNDDOWN($D803*$F803,-3)</f>
        <v>142320000</v>
      </c>
      <c r="H803" s="31">
        <v>0</v>
      </c>
      <c r="I803" s="31">
        <f>SUMIF(dd_kuitansi[MAK],$A803,dd_kuitansi[Jumlah])</f>
        <v>0</v>
      </c>
      <c r="J803" s="31">
        <f>$G803-SUM($H803:$I803)</f>
        <v>142320000</v>
      </c>
    </row>
    <row r="804" spans="1:13" s="9" customFormat="1" x14ac:dyDescent="0.25">
      <c r="A804" s="39" t="s">
        <v>1146</v>
      </c>
      <c r="B804" s="29" t="s">
        <v>1</v>
      </c>
      <c r="C804" s="30" t="s">
        <v>272</v>
      </c>
      <c r="D804" s="31">
        <v>1</v>
      </c>
      <c r="E804" s="32" t="s">
        <v>218</v>
      </c>
      <c r="F804" s="31">
        <v>12610000</v>
      </c>
      <c r="G804" s="31">
        <f>ROUNDDOWN($D804*$F804,-3)</f>
        <v>12610000</v>
      </c>
      <c r="H804" s="31">
        <v>0</v>
      </c>
      <c r="I804" s="31">
        <f>SUMIF(dd_kuitansi[MAK],$A804,dd_kuitansi[Jumlah])</f>
        <v>0</v>
      </c>
      <c r="J804" s="31">
        <f>$G804-SUM($H804:$I804)</f>
        <v>12610000</v>
      </c>
      <c r="M804" s="184"/>
    </row>
    <row r="805" spans="1:13" x14ac:dyDescent="0.25">
      <c r="A805" s="40" t="s">
        <v>1147</v>
      </c>
      <c r="B805" s="29" t="s">
        <v>1</v>
      </c>
      <c r="C805" s="30" t="s">
        <v>273</v>
      </c>
      <c r="D805" s="31">
        <v>1</v>
      </c>
      <c r="E805" s="32" t="s">
        <v>218</v>
      </c>
      <c r="F805" s="31">
        <v>12610000</v>
      </c>
      <c r="G805" s="31">
        <f>ROUNDDOWN($D805*$F805,-3)</f>
        <v>12610000</v>
      </c>
      <c r="H805" s="31">
        <v>0</v>
      </c>
      <c r="I805" s="31">
        <f>SUMIF(dd_kuitansi[MAK],$A805,dd_kuitansi[Jumlah])</f>
        <v>0</v>
      </c>
      <c r="J805" s="31">
        <f>$G805-SUM($H805:$I805)</f>
        <v>12610000</v>
      </c>
    </row>
    <row r="806" spans="1:13" x14ac:dyDescent="0.25">
      <c r="A806" s="40" t="s">
        <v>664</v>
      </c>
      <c r="B806" s="17" t="s">
        <v>274</v>
      </c>
      <c r="C806" s="18" t="s">
        <v>275</v>
      </c>
      <c r="D806" s="19">
        <v>0</v>
      </c>
      <c r="E806" s="20" t="s">
        <v>1</v>
      </c>
      <c r="F806" s="19">
        <v>0</v>
      </c>
      <c r="G806" s="31">
        <f>SUM(G807:G809)</f>
        <v>24290000</v>
      </c>
      <c r="H806" s="31">
        <f>SUM(H807:H809)</f>
        <v>0</v>
      </c>
      <c r="I806" s="31">
        <f>SUM(I807:I809)</f>
        <v>0</v>
      </c>
      <c r="J806" s="31">
        <f>SUM(J807:J809)</f>
        <v>24290000</v>
      </c>
    </row>
    <row r="807" spans="1:13" x14ac:dyDescent="0.25">
      <c r="A807" s="40" t="s">
        <v>1148</v>
      </c>
      <c r="B807" s="29" t="s">
        <v>1</v>
      </c>
      <c r="C807" s="30" t="s">
        <v>276</v>
      </c>
      <c r="D807" s="31">
        <v>1</v>
      </c>
      <c r="E807" s="32" t="s">
        <v>101</v>
      </c>
      <c r="F807" s="31">
        <v>20820000</v>
      </c>
      <c r="G807" s="31">
        <f>ROUNDDOWN($D807*$F807,-3)</f>
        <v>20820000</v>
      </c>
      <c r="H807" s="31">
        <v>0</v>
      </c>
      <c r="I807" s="31">
        <f>SUMIF(dd_kuitansi[MAK],$A807,dd_kuitansi[Jumlah])</f>
        <v>0</v>
      </c>
      <c r="J807" s="31">
        <f>$G807-SUM($H807:$I807)</f>
        <v>20820000</v>
      </c>
    </row>
    <row r="808" spans="1:13" s="9" customFormat="1" x14ac:dyDescent="0.25">
      <c r="A808" s="39" t="s">
        <v>1149</v>
      </c>
      <c r="B808" s="29" t="s">
        <v>1</v>
      </c>
      <c r="C808" s="30" t="s">
        <v>277</v>
      </c>
      <c r="D808" s="31">
        <v>1</v>
      </c>
      <c r="E808" s="32" t="s">
        <v>218</v>
      </c>
      <c r="F808" s="31">
        <v>1735000</v>
      </c>
      <c r="G808" s="31">
        <f>ROUNDDOWN($D808*$F808,-3)</f>
        <v>1735000</v>
      </c>
      <c r="H808" s="31">
        <v>0</v>
      </c>
      <c r="I808" s="31">
        <f>SUMIF(dd_kuitansi[MAK],$A808,dd_kuitansi[Jumlah])</f>
        <v>0</v>
      </c>
      <c r="J808" s="31">
        <f>$G808-SUM($H808:$I808)</f>
        <v>1735000</v>
      </c>
      <c r="M808" s="184"/>
    </row>
    <row r="809" spans="1:13" x14ac:dyDescent="0.25">
      <c r="A809" s="40" t="s">
        <v>1150</v>
      </c>
      <c r="B809" s="29" t="s">
        <v>1</v>
      </c>
      <c r="C809" s="30" t="s">
        <v>278</v>
      </c>
      <c r="D809" s="31">
        <v>1</v>
      </c>
      <c r="E809" s="32" t="s">
        <v>218</v>
      </c>
      <c r="F809" s="31">
        <v>1735000</v>
      </c>
      <c r="G809" s="31">
        <f>ROUNDDOWN($D809*$F809,-3)</f>
        <v>1735000</v>
      </c>
      <c r="H809" s="31">
        <v>0</v>
      </c>
      <c r="I809" s="31">
        <f>SUMIF(dd_kuitansi[MAK],$A809,dd_kuitansi[Jumlah])</f>
        <v>0</v>
      </c>
      <c r="J809" s="31">
        <f>$G809-SUM($H809:$I809)</f>
        <v>1735000</v>
      </c>
    </row>
    <row r="810" spans="1:13" x14ac:dyDescent="0.25">
      <c r="A810" s="40" t="s">
        <v>665</v>
      </c>
      <c r="B810" s="17" t="s">
        <v>279</v>
      </c>
      <c r="C810" s="18" t="s">
        <v>280</v>
      </c>
      <c r="D810" s="19">
        <v>0</v>
      </c>
      <c r="E810" s="20" t="s">
        <v>1</v>
      </c>
      <c r="F810" s="19">
        <v>0</v>
      </c>
      <c r="G810" s="31">
        <f>SUM(G811:G813)</f>
        <v>12312000</v>
      </c>
      <c r="H810" s="31">
        <f>SUM(H811:H813)</f>
        <v>0</v>
      </c>
      <c r="I810" s="31">
        <f>SUM(I811:I813)</f>
        <v>0</v>
      </c>
      <c r="J810" s="31">
        <f>SUM(J811:J813)</f>
        <v>12312000</v>
      </c>
    </row>
    <row r="811" spans="1:13" x14ac:dyDescent="0.25">
      <c r="A811" s="40" t="s">
        <v>1151</v>
      </c>
      <c r="B811" s="29" t="s">
        <v>1</v>
      </c>
      <c r="C811" s="30" t="s">
        <v>281</v>
      </c>
      <c r="D811" s="31">
        <v>1</v>
      </c>
      <c r="E811" s="32" t="s">
        <v>101</v>
      </c>
      <c r="F811" s="31">
        <v>7840000</v>
      </c>
      <c r="G811" s="31">
        <f>ROUNDDOWN($D811*$F811,-3)</f>
        <v>7840000</v>
      </c>
      <c r="H811" s="31">
        <v>0</v>
      </c>
      <c r="I811" s="31">
        <f>SUMIF(dd_kuitansi[MAK],$A811,dd_kuitansi[Jumlah])</f>
        <v>0</v>
      </c>
      <c r="J811" s="31">
        <f>$G811-SUM($H811:$I811)</f>
        <v>7840000</v>
      </c>
    </row>
    <row r="812" spans="1:13" s="9" customFormat="1" x14ac:dyDescent="0.25">
      <c r="A812" s="39" t="s">
        <v>1152</v>
      </c>
      <c r="B812" s="29" t="s">
        <v>1</v>
      </c>
      <c r="C812" s="30" t="s">
        <v>282</v>
      </c>
      <c r="D812" s="31">
        <v>1</v>
      </c>
      <c r="E812" s="32" t="s">
        <v>218</v>
      </c>
      <c r="F812" s="31">
        <v>2236000</v>
      </c>
      <c r="G812" s="31">
        <f>ROUNDDOWN($D812*$F812,-3)</f>
        <v>2236000</v>
      </c>
      <c r="H812" s="31">
        <v>0</v>
      </c>
      <c r="I812" s="31">
        <f>SUMIF(dd_kuitansi[MAK],$A812,dd_kuitansi[Jumlah])</f>
        <v>0</v>
      </c>
      <c r="J812" s="31">
        <f>$G812-SUM($H812:$I812)</f>
        <v>2236000</v>
      </c>
      <c r="M812" s="184"/>
    </row>
    <row r="813" spans="1:13" x14ac:dyDescent="0.25">
      <c r="A813" s="40" t="s">
        <v>1153</v>
      </c>
      <c r="B813" s="29" t="s">
        <v>1</v>
      </c>
      <c r="C813" s="30" t="s">
        <v>283</v>
      </c>
      <c r="D813" s="31">
        <v>1</v>
      </c>
      <c r="E813" s="32" t="s">
        <v>218</v>
      </c>
      <c r="F813" s="31">
        <v>2236000</v>
      </c>
      <c r="G813" s="31">
        <f>ROUNDDOWN($D813*$F813,-3)</f>
        <v>2236000</v>
      </c>
      <c r="H813" s="31">
        <v>0</v>
      </c>
      <c r="I813" s="31">
        <f>SUMIF(dd_kuitansi[MAK],$A813,dd_kuitansi[Jumlah])</f>
        <v>0</v>
      </c>
      <c r="J813" s="31">
        <f>$G813-SUM($H813:$I813)</f>
        <v>2236000</v>
      </c>
    </row>
    <row r="814" spans="1:13" x14ac:dyDescent="0.25">
      <c r="A814" s="40" t="s">
        <v>666</v>
      </c>
      <c r="B814" s="17" t="s">
        <v>284</v>
      </c>
      <c r="C814" s="18" t="s">
        <v>285</v>
      </c>
      <c r="D814" s="19">
        <v>0</v>
      </c>
      <c r="E814" s="20" t="s">
        <v>1</v>
      </c>
      <c r="F814" s="19">
        <v>0</v>
      </c>
      <c r="G814" s="19">
        <f>G815</f>
        <v>141222000</v>
      </c>
      <c r="H814" s="19">
        <f>H815</f>
        <v>0</v>
      </c>
      <c r="I814" s="19">
        <f>I815</f>
        <v>0</v>
      </c>
      <c r="J814" s="19">
        <f>J815</f>
        <v>141222000</v>
      </c>
    </row>
    <row r="815" spans="1:13" x14ac:dyDescent="0.25">
      <c r="A815" s="40" t="s">
        <v>1154</v>
      </c>
      <c r="B815" s="29" t="s">
        <v>1</v>
      </c>
      <c r="C815" s="30" t="s">
        <v>286</v>
      </c>
      <c r="D815" s="31">
        <v>1</v>
      </c>
      <c r="E815" s="32" t="s">
        <v>101</v>
      </c>
      <c r="F815" s="31">
        <v>141222000</v>
      </c>
      <c r="G815" s="31">
        <f>ROUNDDOWN($D815*$F815,-3)</f>
        <v>141222000</v>
      </c>
      <c r="H815" s="31">
        <v>0</v>
      </c>
      <c r="I815" s="31">
        <f>SUMIF(dd_kuitansi[MAK],$A815,dd_kuitansi[Jumlah])</f>
        <v>0</v>
      </c>
      <c r="J815" s="31">
        <f>$G815-SUM($H815:$I815)</f>
        <v>141222000</v>
      </c>
    </row>
    <row r="816" spans="1:13" s="9" customFormat="1" x14ac:dyDescent="0.25">
      <c r="A816" s="39" t="s">
        <v>667</v>
      </c>
      <c r="B816" s="17" t="s">
        <v>287</v>
      </c>
      <c r="C816" s="18" t="s">
        <v>288</v>
      </c>
      <c r="D816" s="19">
        <v>0</v>
      </c>
      <c r="E816" s="20" t="s">
        <v>1</v>
      </c>
      <c r="F816" s="19">
        <v>0</v>
      </c>
      <c r="G816" s="19">
        <f>G817</f>
        <v>430880000</v>
      </c>
      <c r="H816" s="19">
        <f>H817</f>
        <v>0</v>
      </c>
      <c r="I816" s="19">
        <f>I817</f>
        <v>0</v>
      </c>
      <c r="J816" s="19">
        <f>J817</f>
        <v>430880000</v>
      </c>
      <c r="M816" s="184"/>
    </row>
    <row r="817" spans="1:13" x14ac:dyDescent="0.25">
      <c r="A817" s="40" t="s">
        <v>1155</v>
      </c>
      <c r="B817" s="29" t="s">
        <v>1</v>
      </c>
      <c r="C817" s="30" t="s">
        <v>289</v>
      </c>
      <c r="D817" s="31">
        <v>1</v>
      </c>
      <c r="E817" s="32" t="s">
        <v>101</v>
      </c>
      <c r="F817" s="31">
        <v>430880000</v>
      </c>
      <c r="G817" s="31">
        <f>ROUNDDOWN($D817*$F817,-3)</f>
        <v>430880000</v>
      </c>
      <c r="H817" s="31">
        <v>0</v>
      </c>
      <c r="I817" s="31">
        <f>SUMIF(dd_kuitansi[MAK],$A817,dd_kuitansi[Jumlah])</f>
        <v>0</v>
      </c>
      <c r="J817" s="31">
        <f>$G817-SUM($H817:$I817)</f>
        <v>430880000</v>
      </c>
    </row>
    <row r="818" spans="1:13" x14ac:dyDescent="0.25">
      <c r="A818" s="40" t="s">
        <v>668</v>
      </c>
      <c r="B818" s="17" t="s">
        <v>290</v>
      </c>
      <c r="C818" s="18" t="s">
        <v>291</v>
      </c>
      <c r="D818" s="19">
        <v>0</v>
      </c>
      <c r="E818" s="20" t="s">
        <v>1</v>
      </c>
      <c r="F818" s="19">
        <v>0</v>
      </c>
      <c r="G818" s="31">
        <f>SUM(G819:G821)</f>
        <v>116500000</v>
      </c>
      <c r="H818" s="31">
        <f>SUM(H819:H821)</f>
        <v>0</v>
      </c>
      <c r="I818" s="31">
        <f>SUM(I819:I821)</f>
        <v>0</v>
      </c>
      <c r="J818" s="31">
        <f>SUM(J819:J821)</f>
        <v>116500000</v>
      </c>
    </row>
    <row r="819" spans="1:13" x14ac:dyDescent="0.25">
      <c r="A819" s="40" t="s">
        <v>1156</v>
      </c>
      <c r="B819" s="29" t="s">
        <v>1</v>
      </c>
      <c r="C819" s="30" t="s">
        <v>281</v>
      </c>
      <c r="D819" s="31">
        <v>1</v>
      </c>
      <c r="E819" s="32" t="s">
        <v>101</v>
      </c>
      <c r="F819" s="31">
        <v>100780000</v>
      </c>
      <c r="G819" s="31">
        <f>ROUNDDOWN($D819*$F819,-3)</f>
        <v>100780000</v>
      </c>
      <c r="H819" s="31">
        <v>0</v>
      </c>
      <c r="I819" s="31">
        <f>SUMIF(dd_kuitansi[MAK],$A819,dd_kuitansi[Jumlah])</f>
        <v>0</v>
      </c>
      <c r="J819" s="31">
        <f>$G819-SUM($H819:$I819)</f>
        <v>100780000</v>
      </c>
    </row>
    <row r="820" spans="1:13" s="9" customFormat="1" x14ac:dyDescent="0.25">
      <c r="A820" s="39" t="s">
        <v>1157</v>
      </c>
      <c r="B820" s="29" t="s">
        <v>1</v>
      </c>
      <c r="C820" s="30" t="s">
        <v>282</v>
      </c>
      <c r="D820" s="31">
        <v>1</v>
      </c>
      <c r="E820" s="32" t="s">
        <v>101</v>
      </c>
      <c r="F820" s="31">
        <v>7860000</v>
      </c>
      <c r="G820" s="31">
        <f>ROUNDDOWN($D820*$F820,-3)</f>
        <v>7860000</v>
      </c>
      <c r="H820" s="31">
        <v>0</v>
      </c>
      <c r="I820" s="31">
        <f>SUMIF(dd_kuitansi[MAK],$A820,dd_kuitansi[Jumlah])</f>
        <v>0</v>
      </c>
      <c r="J820" s="31">
        <f>$G820-SUM($H820:$I820)</f>
        <v>7860000</v>
      </c>
      <c r="M820" s="184"/>
    </row>
    <row r="821" spans="1:13" x14ac:dyDescent="0.25">
      <c r="A821" s="40" t="s">
        <v>1158</v>
      </c>
      <c r="B821" s="29" t="s">
        <v>1</v>
      </c>
      <c r="C821" s="30" t="s">
        <v>292</v>
      </c>
      <c r="D821" s="31">
        <v>1</v>
      </c>
      <c r="E821" s="32" t="s">
        <v>101</v>
      </c>
      <c r="F821" s="31">
        <v>7860000</v>
      </c>
      <c r="G821" s="31">
        <f>ROUNDDOWN($D821*$F821,-3)</f>
        <v>7860000</v>
      </c>
      <c r="H821" s="31">
        <v>0</v>
      </c>
      <c r="I821" s="31">
        <f>SUMIF(dd_kuitansi[MAK],$A821,dd_kuitansi[Jumlah])</f>
        <v>0</v>
      </c>
      <c r="J821" s="31">
        <f>$G821-SUM($H821:$I821)</f>
        <v>7860000</v>
      </c>
    </row>
    <row r="822" spans="1:13" s="9" customFormat="1" x14ac:dyDescent="0.25">
      <c r="A822" s="39" t="s">
        <v>436</v>
      </c>
      <c r="B822" s="25" t="s">
        <v>17</v>
      </c>
      <c r="C822" s="26" t="s">
        <v>293</v>
      </c>
      <c r="D822" s="27">
        <v>0</v>
      </c>
      <c r="E822" s="28" t="s">
        <v>1</v>
      </c>
      <c r="F822" s="27">
        <v>0</v>
      </c>
      <c r="G822" s="27">
        <f>G823</f>
        <v>3602414000</v>
      </c>
      <c r="H822" s="27">
        <f>H823</f>
        <v>0</v>
      </c>
      <c r="I822" s="27">
        <f>I823</f>
        <v>0</v>
      </c>
      <c r="J822" s="27">
        <f>J823</f>
        <v>3602414000</v>
      </c>
      <c r="M822" s="184"/>
    </row>
    <row r="823" spans="1:13" x14ac:dyDescent="0.25">
      <c r="A823" s="40" t="s">
        <v>669</v>
      </c>
      <c r="B823" s="17" t="s">
        <v>294</v>
      </c>
      <c r="C823" s="18" t="s">
        <v>295</v>
      </c>
      <c r="D823" s="19">
        <v>0</v>
      </c>
      <c r="E823" s="20" t="s">
        <v>1</v>
      </c>
      <c r="F823" s="19">
        <v>0</v>
      </c>
      <c r="G823" s="31">
        <f>SUM(G824:G826)</f>
        <v>3602414000</v>
      </c>
      <c r="H823" s="31">
        <f>SUM(H824:H826)</f>
        <v>0</v>
      </c>
      <c r="I823" s="31">
        <f>SUM(I824:I826)</f>
        <v>0</v>
      </c>
      <c r="J823" s="31">
        <f>SUM(J824:J826)</f>
        <v>3602414000</v>
      </c>
    </row>
    <row r="824" spans="1:13" s="9" customFormat="1" x14ac:dyDescent="0.25">
      <c r="A824" s="39" t="s">
        <v>1159</v>
      </c>
      <c r="B824" s="29" t="s">
        <v>1</v>
      </c>
      <c r="C824" s="30" t="s">
        <v>296</v>
      </c>
      <c r="D824" s="31">
        <v>1</v>
      </c>
      <c r="E824" s="32" t="s">
        <v>101</v>
      </c>
      <c r="F824" s="31">
        <v>3099932000</v>
      </c>
      <c r="G824" s="31">
        <f>ROUNDDOWN($D824*$F824,-3)</f>
        <v>3099932000</v>
      </c>
      <c r="H824" s="31">
        <v>0</v>
      </c>
      <c r="I824" s="31">
        <f>SUMIF(dd_kuitansi[MAK],$A824,dd_kuitansi[Jumlah])</f>
        <v>0</v>
      </c>
      <c r="J824" s="31">
        <f>$G824-SUM($H824:$I824)</f>
        <v>3099932000</v>
      </c>
      <c r="M824" s="184"/>
    </row>
    <row r="825" spans="1:13" x14ac:dyDescent="0.25">
      <c r="A825" s="40" t="s">
        <v>1160</v>
      </c>
      <c r="B825" s="29" t="s">
        <v>1</v>
      </c>
      <c r="C825" s="30" t="s">
        <v>297</v>
      </c>
      <c r="D825" s="31">
        <v>1</v>
      </c>
      <c r="E825" s="32" t="s">
        <v>218</v>
      </c>
      <c r="F825" s="31">
        <v>251241000</v>
      </c>
      <c r="G825" s="31">
        <f>ROUNDDOWN($D825*$F825,-3)</f>
        <v>251241000</v>
      </c>
      <c r="H825" s="31">
        <v>0</v>
      </c>
      <c r="I825" s="31">
        <f>SUMIF(dd_kuitansi[MAK],$A825,dd_kuitansi[Jumlah])</f>
        <v>0</v>
      </c>
      <c r="J825" s="31">
        <f>$G825-SUM($H825:$I825)</f>
        <v>251241000</v>
      </c>
    </row>
    <row r="826" spans="1:13" x14ac:dyDescent="0.25">
      <c r="A826" s="40" t="s">
        <v>1161</v>
      </c>
      <c r="B826" s="29" t="s">
        <v>1</v>
      </c>
      <c r="C826" s="30" t="s">
        <v>298</v>
      </c>
      <c r="D826" s="31">
        <v>1</v>
      </c>
      <c r="E826" s="32" t="s">
        <v>218</v>
      </c>
      <c r="F826" s="31">
        <v>251241000</v>
      </c>
      <c r="G826" s="31">
        <f>ROUNDDOWN($D826*$F826,-3)</f>
        <v>251241000</v>
      </c>
      <c r="H826" s="31">
        <v>0</v>
      </c>
      <c r="I826" s="31">
        <f>SUMIF(dd_kuitansi[MAK],$A826,dd_kuitansi[Jumlah])</f>
        <v>0</v>
      </c>
      <c r="J826" s="31">
        <f>$G826-SUM($H826:$I826)</f>
        <v>251241000</v>
      </c>
    </row>
    <row r="827" spans="1:13" x14ac:dyDescent="0.25">
      <c r="A827" s="40" t="s">
        <v>389</v>
      </c>
      <c r="B827" s="21" t="s">
        <v>299</v>
      </c>
      <c r="C827" s="22" t="s">
        <v>300</v>
      </c>
      <c r="D827" s="23">
        <v>0</v>
      </c>
      <c r="E827" s="24" t="s">
        <v>1</v>
      </c>
      <c r="F827" s="23">
        <v>0</v>
      </c>
      <c r="G827" s="23">
        <f>SUM(G828,G849,G855,G869)</f>
        <v>2351465000</v>
      </c>
      <c r="H827" s="23">
        <f>SUM(H828,H849,H855,H869)</f>
        <v>0</v>
      </c>
      <c r="I827" s="23">
        <f>SUM(I828,I849,I855,I869)</f>
        <v>0</v>
      </c>
      <c r="J827" s="23">
        <f>SUM(J828,J849,J855,J869)</f>
        <v>2351465000</v>
      </c>
    </row>
    <row r="828" spans="1:13" s="9" customFormat="1" x14ac:dyDescent="0.25">
      <c r="A828" s="39" t="s">
        <v>437</v>
      </c>
      <c r="B828" s="25" t="s">
        <v>11</v>
      </c>
      <c r="C828" s="26" t="s">
        <v>301</v>
      </c>
      <c r="D828" s="27">
        <v>0</v>
      </c>
      <c r="E828" s="28" t="s">
        <v>1</v>
      </c>
      <c r="F828" s="27">
        <v>0</v>
      </c>
      <c r="G828" s="27">
        <f>SUM(G829,G838)</f>
        <v>1306865000</v>
      </c>
      <c r="H828" s="27">
        <f>SUM(H829,H838)</f>
        <v>0</v>
      </c>
      <c r="I828" s="27">
        <f>SUM(I829,I838)</f>
        <v>0</v>
      </c>
      <c r="J828" s="27">
        <f>SUM(J829,J838)</f>
        <v>1306865000</v>
      </c>
      <c r="M828" s="184"/>
    </row>
    <row r="829" spans="1:13" s="9" customFormat="1" x14ac:dyDescent="0.25">
      <c r="A829" s="39" t="s">
        <v>670</v>
      </c>
      <c r="B829" s="17" t="s">
        <v>302</v>
      </c>
      <c r="C829" s="18" t="s">
        <v>303</v>
      </c>
      <c r="D829" s="19">
        <v>0</v>
      </c>
      <c r="E829" s="20" t="s">
        <v>1</v>
      </c>
      <c r="F829" s="19">
        <v>0</v>
      </c>
      <c r="G829" s="19">
        <f>SUM(G830:G833)+G834+G836</f>
        <v>988407000</v>
      </c>
      <c r="H829" s="19">
        <f>SUM(H830:H833)+H834+H836</f>
        <v>0</v>
      </c>
      <c r="I829" s="19">
        <f>SUM(I830:I833)+I834+I836</f>
        <v>0</v>
      </c>
      <c r="J829" s="19">
        <f>SUM(J830:J833)+J834+J836</f>
        <v>988407000</v>
      </c>
      <c r="M829" s="184"/>
    </row>
    <row r="830" spans="1:13" x14ac:dyDescent="0.25">
      <c r="A830" s="40" t="s">
        <v>1162</v>
      </c>
      <c r="B830" s="29" t="s">
        <v>1</v>
      </c>
      <c r="C830" s="30" t="s">
        <v>304</v>
      </c>
      <c r="D830" s="31">
        <v>12</v>
      </c>
      <c r="E830" s="32" t="s">
        <v>218</v>
      </c>
      <c r="F830" s="31">
        <v>12000000</v>
      </c>
      <c r="G830" s="31">
        <f>ROUNDDOWN($D830*$F830,-3)</f>
        <v>144000000</v>
      </c>
      <c r="H830" s="31">
        <v>0</v>
      </c>
      <c r="I830" s="31">
        <f>SUMIF(dd_kuitansi[MAK],$A830,dd_kuitansi[Jumlah])</f>
        <v>0</v>
      </c>
      <c r="J830" s="31">
        <f>$G830-SUM($H830:$I830)</f>
        <v>144000000</v>
      </c>
    </row>
    <row r="831" spans="1:13" x14ac:dyDescent="0.25">
      <c r="A831" s="40" t="s">
        <v>1163</v>
      </c>
      <c r="B831" s="29" t="s">
        <v>1</v>
      </c>
      <c r="C831" s="30" t="s">
        <v>305</v>
      </c>
      <c r="D831" s="31">
        <v>67</v>
      </c>
      <c r="E831" s="32" t="s">
        <v>306</v>
      </c>
      <c r="F831" s="31">
        <v>1520000</v>
      </c>
      <c r="G831" s="31">
        <f>ROUNDDOWN($D831*$F831,-3)</f>
        <v>101840000</v>
      </c>
      <c r="H831" s="31">
        <v>0</v>
      </c>
      <c r="I831" s="31">
        <f>SUMIF(dd_kuitansi[MAK],$A831,dd_kuitansi[Jumlah])</f>
        <v>0</v>
      </c>
      <c r="J831" s="31">
        <f>$G831-SUM($H831:$I831)</f>
        <v>101840000</v>
      </c>
    </row>
    <row r="832" spans="1:13" x14ac:dyDescent="0.25">
      <c r="A832" s="40" t="s">
        <v>1164</v>
      </c>
      <c r="B832" s="29" t="s">
        <v>1</v>
      </c>
      <c r="C832" s="30" t="s">
        <v>149</v>
      </c>
      <c r="D832" s="31">
        <v>12</v>
      </c>
      <c r="E832" s="32" t="s">
        <v>16</v>
      </c>
      <c r="F832" s="31">
        <v>2500000</v>
      </c>
      <c r="G832" s="31">
        <f>ROUNDDOWN($D832*$F832,-3)</f>
        <v>30000000</v>
      </c>
      <c r="H832" s="31">
        <v>0</v>
      </c>
      <c r="I832" s="31">
        <f>SUMIF(dd_kuitansi[MAK],$A832,dd_kuitansi[Jumlah])</f>
        <v>0</v>
      </c>
      <c r="J832" s="31">
        <f>$G832-SUM($H832:$I832)</f>
        <v>30000000</v>
      </c>
    </row>
    <row r="833" spans="1:13" s="9" customFormat="1" x14ac:dyDescent="0.25">
      <c r="A833" s="39" t="s">
        <v>1165</v>
      </c>
      <c r="B833" s="29" t="s">
        <v>1</v>
      </c>
      <c r="C833" s="30" t="s">
        <v>307</v>
      </c>
      <c r="D833" s="31">
        <v>12</v>
      </c>
      <c r="E833" s="32" t="s">
        <v>218</v>
      </c>
      <c r="F833" s="31">
        <v>1747250</v>
      </c>
      <c r="G833" s="31">
        <f>ROUNDDOWN($D833*$F833,-3)</f>
        <v>20967000</v>
      </c>
      <c r="H833" s="31">
        <v>0</v>
      </c>
      <c r="I833" s="31">
        <f>SUMIF(dd_kuitansi[MAK],$A833,dd_kuitansi[Jumlah])</f>
        <v>0</v>
      </c>
      <c r="J833" s="31">
        <f>$G833-SUM($H833:$I833)</f>
        <v>20967000</v>
      </c>
      <c r="M833" s="184"/>
    </row>
    <row r="834" spans="1:13" s="9" customFormat="1" x14ac:dyDescent="0.25">
      <c r="A834" s="39"/>
      <c r="B834" s="29" t="s">
        <v>1</v>
      </c>
      <c r="C834" s="33" t="s">
        <v>308</v>
      </c>
      <c r="D834" s="31">
        <v>0</v>
      </c>
      <c r="E834" s="32" t="s">
        <v>1</v>
      </c>
      <c r="F834" s="31">
        <v>0</v>
      </c>
      <c r="G834" s="19">
        <f>G835</f>
        <v>633516000</v>
      </c>
      <c r="H834" s="19">
        <f>H835</f>
        <v>0</v>
      </c>
      <c r="I834" s="19">
        <f>I835</f>
        <v>0</v>
      </c>
      <c r="J834" s="19">
        <f>J835</f>
        <v>633516000</v>
      </c>
      <c r="M834" s="184"/>
    </row>
    <row r="835" spans="1:13" s="9" customFormat="1" x14ac:dyDescent="0.25">
      <c r="A835" s="39" t="s">
        <v>1166</v>
      </c>
      <c r="B835" s="29" t="s">
        <v>1</v>
      </c>
      <c r="C835" s="30" t="s">
        <v>309</v>
      </c>
      <c r="D835" s="31">
        <v>156</v>
      </c>
      <c r="E835" s="32" t="s">
        <v>310</v>
      </c>
      <c r="F835" s="31">
        <v>4061000</v>
      </c>
      <c r="G835" s="31">
        <f>ROUNDDOWN($D835*$F835,-3)</f>
        <v>633516000</v>
      </c>
      <c r="H835" s="31">
        <v>0</v>
      </c>
      <c r="I835" s="31">
        <f>SUMIF(dd_kuitansi[MAK],$A835,dd_kuitansi[Jumlah])</f>
        <v>0</v>
      </c>
      <c r="J835" s="31">
        <f>$G835-SUM($H835:$I835)</f>
        <v>633516000</v>
      </c>
      <c r="M835" s="184"/>
    </row>
    <row r="836" spans="1:13" x14ac:dyDescent="0.25">
      <c r="A836" s="40"/>
      <c r="B836" s="29" t="s">
        <v>1</v>
      </c>
      <c r="C836" s="33" t="s">
        <v>311</v>
      </c>
      <c r="D836" s="31">
        <v>0</v>
      </c>
      <c r="E836" s="32" t="s">
        <v>1</v>
      </c>
      <c r="F836" s="31">
        <v>0</v>
      </c>
      <c r="G836" s="19">
        <f>G837</f>
        <v>58084000</v>
      </c>
      <c r="H836" s="19">
        <f>H837</f>
        <v>0</v>
      </c>
      <c r="I836" s="19">
        <f>I837</f>
        <v>0</v>
      </c>
      <c r="J836" s="19">
        <f>J837</f>
        <v>58084000</v>
      </c>
    </row>
    <row r="837" spans="1:13" x14ac:dyDescent="0.25">
      <c r="A837" s="40" t="s">
        <v>1167</v>
      </c>
      <c r="B837" s="29" t="s">
        <v>1</v>
      </c>
      <c r="C837" s="30" t="s">
        <v>312</v>
      </c>
      <c r="D837" s="31">
        <v>13</v>
      </c>
      <c r="E837" s="32" t="s">
        <v>310</v>
      </c>
      <c r="F837" s="31">
        <v>4468000</v>
      </c>
      <c r="G837" s="31">
        <f>ROUNDDOWN($D837*$F837,-3)</f>
        <v>58084000</v>
      </c>
      <c r="H837" s="31">
        <v>0</v>
      </c>
      <c r="I837" s="31">
        <f>SUMIF(dd_kuitansi[MAK],$A837,dd_kuitansi[Jumlah])</f>
        <v>0</v>
      </c>
      <c r="J837" s="31">
        <f>$G837-SUM($H837:$I837)</f>
        <v>58084000</v>
      </c>
    </row>
    <row r="838" spans="1:13" x14ac:dyDescent="0.25">
      <c r="A838" s="40" t="s">
        <v>671</v>
      </c>
      <c r="B838" s="17" t="s">
        <v>41</v>
      </c>
      <c r="C838" s="18" t="s">
        <v>42</v>
      </c>
      <c r="D838" s="19">
        <v>0</v>
      </c>
      <c r="E838" s="20" t="s">
        <v>1</v>
      </c>
      <c r="F838" s="19">
        <v>0</v>
      </c>
      <c r="G838" s="19">
        <f>SUM(G839:G848)</f>
        <v>318458000</v>
      </c>
      <c r="H838" s="19">
        <f>SUM(H839:H848)</f>
        <v>0</v>
      </c>
      <c r="I838" s="19">
        <f>SUM(I839:I848)</f>
        <v>0</v>
      </c>
      <c r="J838" s="19">
        <f>SUM(J839:J848)</f>
        <v>318458000</v>
      </c>
    </row>
    <row r="839" spans="1:13" x14ac:dyDescent="0.25">
      <c r="A839" s="40" t="s">
        <v>1168</v>
      </c>
      <c r="B839" s="29" t="s">
        <v>1</v>
      </c>
      <c r="C839" s="30" t="s">
        <v>313</v>
      </c>
      <c r="D839" s="31">
        <v>96</v>
      </c>
      <c r="E839" s="32" t="s">
        <v>16</v>
      </c>
      <c r="F839" s="31">
        <v>1000000</v>
      </c>
      <c r="G839" s="31">
        <f t="shared" ref="G839:G848" si="12">ROUNDDOWN($D839*$F839,-3)</f>
        <v>96000000</v>
      </c>
      <c r="H839" s="31">
        <v>0</v>
      </c>
      <c r="I839" s="31">
        <f>SUMIF(dd_kuitansi[MAK],$A839,dd_kuitansi[Jumlah])</f>
        <v>0</v>
      </c>
      <c r="J839" s="31">
        <f t="shared" ref="J839:J848" si="13">$G839-SUM($H839:$I839)</f>
        <v>96000000</v>
      </c>
    </row>
    <row r="840" spans="1:13" x14ac:dyDescent="0.25">
      <c r="A840" s="40" t="s">
        <v>1169</v>
      </c>
      <c r="B840" s="29" t="s">
        <v>1</v>
      </c>
      <c r="C840" s="30" t="s">
        <v>314</v>
      </c>
      <c r="D840" s="31">
        <v>96</v>
      </c>
      <c r="E840" s="32" t="s">
        <v>16</v>
      </c>
      <c r="F840" s="31">
        <v>1500000</v>
      </c>
      <c r="G840" s="31">
        <f t="shared" si="12"/>
        <v>144000000</v>
      </c>
      <c r="H840" s="31">
        <v>0</v>
      </c>
      <c r="I840" s="31">
        <f>SUMIF(dd_kuitansi[MAK],$A840,dd_kuitansi[Jumlah])</f>
        <v>0</v>
      </c>
      <c r="J840" s="31">
        <f t="shared" si="13"/>
        <v>144000000</v>
      </c>
    </row>
    <row r="841" spans="1:13" x14ac:dyDescent="0.25">
      <c r="A841" s="40" t="s">
        <v>1170</v>
      </c>
      <c r="B841" s="29" t="s">
        <v>1</v>
      </c>
      <c r="C841" s="30" t="s">
        <v>315</v>
      </c>
      <c r="D841" s="31">
        <v>144</v>
      </c>
      <c r="E841" s="32" t="s">
        <v>16</v>
      </c>
      <c r="F841" s="31">
        <v>52000</v>
      </c>
      <c r="G841" s="31">
        <f t="shared" si="12"/>
        <v>7488000</v>
      </c>
      <c r="H841" s="31">
        <v>0</v>
      </c>
      <c r="I841" s="31">
        <f>SUMIF(dd_kuitansi[MAK],$A841,dd_kuitansi[Jumlah])</f>
        <v>0</v>
      </c>
      <c r="J841" s="31">
        <f t="shared" si="13"/>
        <v>7488000</v>
      </c>
    </row>
    <row r="842" spans="1:13" x14ac:dyDescent="0.25">
      <c r="A842" s="40" t="s">
        <v>1171</v>
      </c>
      <c r="B842" s="29" t="s">
        <v>1</v>
      </c>
      <c r="C842" s="30" t="s">
        <v>316</v>
      </c>
      <c r="D842" s="31">
        <v>144</v>
      </c>
      <c r="E842" s="32" t="s">
        <v>16</v>
      </c>
      <c r="F842" s="31">
        <v>55000</v>
      </c>
      <c r="G842" s="31">
        <f t="shared" si="12"/>
        <v>7920000</v>
      </c>
      <c r="H842" s="31">
        <v>0</v>
      </c>
      <c r="I842" s="31">
        <f>SUMIF(dd_kuitansi[MAK],$A842,dd_kuitansi[Jumlah])</f>
        <v>0</v>
      </c>
      <c r="J842" s="31">
        <f t="shared" si="13"/>
        <v>7920000</v>
      </c>
    </row>
    <row r="843" spans="1:13" x14ac:dyDescent="0.25">
      <c r="A843" s="40" t="s">
        <v>1172</v>
      </c>
      <c r="B843" s="29" t="s">
        <v>1</v>
      </c>
      <c r="C843" s="30" t="s">
        <v>317</v>
      </c>
      <c r="D843" s="31">
        <v>60</v>
      </c>
      <c r="E843" s="32" t="s">
        <v>318</v>
      </c>
      <c r="F843" s="31">
        <v>220000</v>
      </c>
      <c r="G843" s="31">
        <f t="shared" si="12"/>
        <v>13200000</v>
      </c>
      <c r="H843" s="31">
        <v>0</v>
      </c>
      <c r="I843" s="31">
        <f>SUMIF(dd_kuitansi[MAK],$A843,dd_kuitansi[Jumlah])</f>
        <v>0</v>
      </c>
      <c r="J843" s="31">
        <f t="shared" si="13"/>
        <v>13200000</v>
      </c>
    </row>
    <row r="844" spans="1:13" s="9" customFormat="1" x14ac:dyDescent="0.25">
      <c r="A844" s="39" t="s">
        <v>1173</v>
      </c>
      <c r="B844" s="29" t="s">
        <v>1</v>
      </c>
      <c r="C844" s="30" t="s">
        <v>319</v>
      </c>
      <c r="D844" s="31">
        <v>40</v>
      </c>
      <c r="E844" s="32" t="s">
        <v>318</v>
      </c>
      <c r="F844" s="31">
        <v>240000</v>
      </c>
      <c r="G844" s="31">
        <f t="shared" si="12"/>
        <v>9600000</v>
      </c>
      <c r="H844" s="31">
        <v>0</v>
      </c>
      <c r="I844" s="31">
        <f>SUMIF(dd_kuitansi[MAK],$A844,dd_kuitansi[Jumlah])</f>
        <v>0</v>
      </c>
      <c r="J844" s="31">
        <f t="shared" si="13"/>
        <v>9600000</v>
      </c>
      <c r="M844" s="184"/>
    </row>
    <row r="845" spans="1:13" x14ac:dyDescent="0.25">
      <c r="A845" s="40" t="s">
        <v>1174</v>
      </c>
      <c r="B845" s="29" t="s">
        <v>1</v>
      </c>
      <c r="C845" s="30" t="s">
        <v>320</v>
      </c>
      <c r="D845" s="31">
        <v>50</v>
      </c>
      <c r="E845" s="32" t="s">
        <v>321</v>
      </c>
      <c r="F845" s="31">
        <v>250000</v>
      </c>
      <c r="G845" s="31">
        <f t="shared" si="12"/>
        <v>12500000</v>
      </c>
      <c r="H845" s="31">
        <v>0</v>
      </c>
      <c r="I845" s="31">
        <f>SUMIF(dd_kuitansi[MAK],$A845,dd_kuitansi[Jumlah])</f>
        <v>0</v>
      </c>
      <c r="J845" s="31">
        <f t="shared" si="13"/>
        <v>12500000</v>
      </c>
    </row>
    <row r="846" spans="1:13" x14ac:dyDescent="0.25">
      <c r="A846" s="40" t="s">
        <v>1175</v>
      </c>
      <c r="B846" s="29" t="s">
        <v>1</v>
      </c>
      <c r="C846" s="30" t="s">
        <v>322</v>
      </c>
      <c r="D846" s="31">
        <v>50</v>
      </c>
      <c r="E846" s="32" t="s">
        <v>321</v>
      </c>
      <c r="F846" s="31">
        <v>220000</v>
      </c>
      <c r="G846" s="31">
        <f t="shared" si="12"/>
        <v>11000000</v>
      </c>
      <c r="H846" s="31">
        <v>0</v>
      </c>
      <c r="I846" s="31">
        <f>SUMIF(dd_kuitansi[MAK],$A846,dd_kuitansi[Jumlah])</f>
        <v>0</v>
      </c>
      <c r="J846" s="31">
        <f t="shared" si="13"/>
        <v>11000000</v>
      </c>
    </row>
    <row r="847" spans="1:13" x14ac:dyDescent="0.25">
      <c r="A847" s="40" t="s">
        <v>1176</v>
      </c>
      <c r="B847" s="29" t="s">
        <v>1</v>
      </c>
      <c r="C847" s="30" t="s">
        <v>323</v>
      </c>
      <c r="D847" s="31">
        <v>500</v>
      </c>
      <c r="E847" s="32" t="s">
        <v>324</v>
      </c>
      <c r="F847" s="31">
        <v>25000</v>
      </c>
      <c r="G847" s="31">
        <f t="shared" si="12"/>
        <v>12500000</v>
      </c>
      <c r="H847" s="31">
        <v>0</v>
      </c>
      <c r="I847" s="31">
        <f>SUMIF(dd_kuitansi[MAK],$A847,dd_kuitansi[Jumlah])</f>
        <v>0</v>
      </c>
      <c r="J847" s="31">
        <f t="shared" si="13"/>
        <v>12500000</v>
      </c>
    </row>
    <row r="848" spans="1:13" x14ac:dyDescent="0.25">
      <c r="A848" s="40" t="s">
        <v>1177</v>
      </c>
      <c r="B848" s="29" t="s">
        <v>1</v>
      </c>
      <c r="C848" s="30" t="s">
        <v>325</v>
      </c>
      <c r="D848" s="31">
        <v>50</v>
      </c>
      <c r="E848" s="32" t="s">
        <v>326</v>
      </c>
      <c r="F848" s="31">
        <v>85000</v>
      </c>
      <c r="G848" s="31">
        <f t="shared" si="12"/>
        <v>4250000</v>
      </c>
      <c r="H848" s="31">
        <v>0</v>
      </c>
      <c r="I848" s="31">
        <f>SUMIF(dd_kuitansi[MAK],$A848,dd_kuitansi[Jumlah])</f>
        <v>0</v>
      </c>
      <c r="J848" s="31">
        <f t="shared" si="13"/>
        <v>4250000</v>
      </c>
    </row>
    <row r="849" spans="1:13" x14ac:dyDescent="0.25">
      <c r="A849" s="40" t="s">
        <v>438</v>
      </c>
      <c r="B849" s="25" t="s">
        <v>17</v>
      </c>
      <c r="C849" s="26" t="s">
        <v>327</v>
      </c>
      <c r="D849" s="27">
        <v>0</v>
      </c>
      <c r="E849" s="28" t="s">
        <v>1</v>
      </c>
      <c r="F849" s="27">
        <v>0</v>
      </c>
      <c r="G849" s="27">
        <f>SUM(G850,G852)</f>
        <v>144000000</v>
      </c>
      <c r="H849" s="27">
        <f>SUM(H850,H852)</f>
        <v>0</v>
      </c>
      <c r="I849" s="27">
        <f>SUM(I850,I852)</f>
        <v>0</v>
      </c>
      <c r="J849" s="27">
        <f>SUM(J850,J852)</f>
        <v>144000000</v>
      </c>
    </row>
    <row r="850" spans="1:13" x14ac:dyDescent="0.25">
      <c r="A850" s="40" t="s">
        <v>672</v>
      </c>
      <c r="B850" s="17" t="s">
        <v>328</v>
      </c>
      <c r="C850" s="18" t="s">
        <v>329</v>
      </c>
      <c r="D850" s="19">
        <v>0</v>
      </c>
      <c r="E850" s="20" t="s">
        <v>1</v>
      </c>
      <c r="F850" s="19">
        <v>0</v>
      </c>
      <c r="G850" s="19">
        <f>G851</f>
        <v>24000000</v>
      </c>
      <c r="H850" s="19">
        <f>H851</f>
        <v>0</v>
      </c>
      <c r="I850" s="19">
        <f>I851</f>
        <v>0</v>
      </c>
      <c r="J850" s="19">
        <f>J851</f>
        <v>24000000</v>
      </c>
    </row>
    <row r="851" spans="1:13" x14ac:dyDescent="0.25">
      <c r="A851" s="40" t="s">
        <v>1178</v>
      </c>
      <c r="B851" s="29" t="s">
        <v>1</v>
      </c>
      <c r="C851" s="30" t="s">
        <v>330</v>
      </c>
      <c r="D851" s="31">
        <v>12</v>
      </c>
      <c r="E851" s="32" t="s">
        <v>218</v>
      </c>
      <c r="F851" s="31">
        <v>2000000</v>
      </c>
      <c r="G851" s="31">
        <f>ROUNDDOWN($D851*$F851,-3)</f>
        <v>24000000</v>
      </c>
      <c r="H851" s="31">
        <v>0</v>
      </c>
      <c r="I851" s="31">
        <f>SUMIF(dd_kuitansi[MAK],$A851,dd_kuitansi[Jumlah])</f>
        <v>0</v>
      </c>
      <c r="J851" s="31">
        <f>$G851-SUM($H851:$I851)</f>
        <v>24000000</v>
      </c>
    </row>
    <row r="852" spans="1:13" x14ac:dyDescent="0.25">
      <c r="A852" s="40" t="s">
        <v>673</v>
      </c>
      <c r="B852" s="17" t="s">
        <v>219</v>
      </c>
      <c r="C852" s="18" t="s">
        <v>220</v>
      </c>
      <c r="D852" s="19">
        <v>0</v>
      </c>
      <c r="E852" s="20" t="s">
        <v>1</v>
      </c>
      <c r="F852" s="19">
        <v>0</v>
      </c>
      <c r="G852" s="19">
        <f>SUM(G853:G854)</f>
        <v>120000000</v>
      </c>
      <c r="H852" s="19">
        <f>SUM(H853:H854)</f>
        <v>0</v>
      </c>
      <c r="I852" s="19">
        <f>SUM(I853:I854)</f>
        <v>0</v>
      </c>
      <c r="J852" s="19">
        <f>SUM(J853:J854)</f>
        <v>120000000</v>
      </c>
    </row>
    <row r="853" spans="1:13" x14ac:dyDescent="0.25">
      <c r="A853" s="40" t="s">
        <v>1179</v>
      </c>
      <c r="B853" s="29" t="s">
        <v>1</v>
      </c>
      <c r="C853" s="30" t="s">
        <v>331</v>
      </c>
      <c r="D853" s="31">
        <v>12</v>
      </c>
      <c r="E853" s="32" t="s">
        <v>218</v>
      </c>
      <c r="F853" s="31">
        <v>5000000</v>
      </c>
      <c r="G853" s="31">
        <f>ROUNDDOWN($D853*$F853,-3)</f>
        <v>60000000</v>
      </c>
      <c r="H853" s="31">
        <v>0</v>
      </c>
      <c r="I853" s="31">
        <f>SUMIF(dd_kuitansi[MAK],$A853,dd_kuitansi[Jumlah])</f>
        <v>0</v>
      </c>
      <c r="J853" s="31">
        <f>$G853-SUM($H853:$I853)</f>
        <v>60000000</v>
      </c>
    </row>
    <row r="854" spans="1:13" x14ac:dyDescent="0.25">
      <c r="A854" s="40" t="s">
        <v>1180</v>
      </c>
      <c r="B854" s="29" t="s">
        <v>1</v>
      </c>
      <c r="C854" s="30" t="s">
        <v>332</v>
      </c>
      <c r="D854" s="31">
        <v>1</v>
      </c>
      <c r="E854" s="32" t="s">
        <v>101</v>
      </c>
      <c r="F854" s="31">
        <v>60000000</v>
      </c>
      <c r="G854" s="31">
        <f>ROUNDDOWN($D854*$F854,-3)</f>
        <v>60000000</v>
      </c>
      <c r="H854" s="31">
        <v>0</v>
      </c>
      <c r="I854" s="31">
        <f>SUMIF(dd_kuitansi[MAK],$A854,dd_kuitansi[Jumlah])</f>
        <v>0</v>
      </c>
      <c r="J854" s="31">
        <f>$G854-SUM($H854:$I854)</f>
        <v>60000000</v>
      </c>
    </row>
    <row r="855" spans="1:13" s="9" customFormat="1" x14ac:dyDescent="0.25">
      <c r="A855" s="39" t="s">
        <v>439</v>
      </c>
      <c r="B855" s="25" t="s">
        <v>65</v>
      </c>
      <c r="C855" s="26" t="s">
        <v>333</v>
      </c>
      <c r="D855" s="27">
        <v>0</v>
      </c>
      <c r="E855" s="28" t="s">
        <v>1</v>
      </c>
      <c r="F855" s="27">
        <v>0</v>
      </c>
      <c r="G855" s="27">
        <f>SUM(G856,G867)</f>
        <v>556720000</v>
      </c>
      <c r="H855" s="27">
        <f>SUM(H856,H867)</f>
        <v>0</v>
      </c>
      <c r="I855" s="27">
        <f>SUM(I856,I867)</f>
        <v>0</v>
      </c>
      <c r="J855" s="27">
        <f>SUM(J856,J867)</f>
        <v>556720000</v>
      </c>
      <c r="M855" s="184"/>
    </row>
    <row r="856" spans="1:13" s="9" customFormat="1" x14ac:dyDescent="0.25">
      <c r="A856" s="39" t="s">
        <v>674</v>
      </c>
      <c r="B856" s="17" t="s">
        <v>334</v>
      </c>
      <c r="C856" s="18" t="s">
        <v>335</v>
      </c>
      <c r="D856" s="19">
        <v>0</v>
      </c>
      <c r="E856" s="20" t="s">
        <v>1</v>
      </c>
      <c r="F856" s="19">
        <v>0</v>
      </c>
      <c r="G856" s="19">
        <f>SUM(G857:G866)</f>
        <v>538720000</v>
      </c>
      <c r="H856" s="19">
        <f>SUM(H857:H866)</f>
        <v>0</v>
      </c>
      <c r="I856" s="19">
        <f>SUM(I857:I866)</f>
        <v>0</v>
      </c>
      <c r="J856" s="19">
        <f>SUM(J857:J866)</f>
        <v>538720000</v>
      </c>
      <c r="M856" s="184"/>
    </row>
    <row r="857" spans="1:13" ht="25.5" x14ac:dyDescent="0.25">
      <c r="A857" s="40" t="s">
        <v>1181</v>
      </c>
      <c r="B857" s="29" t="s">
        <v>1</v>
      </c>
      <c r="C857" s="30" t="s">
        <v>336</v>
      </c>
      <c r="D857" s="31">
        <v>1</v>
      </c>
      <c r="E857" s="32" t="s">
        <v>337</v>
      </c>
      <c r="F857" s="31">
        <v>38730000</v>
      </c>
      <c r="G857" s="31">
        <f t="shared" ref="G857:G866" si="14">ROUNDDOWN($D857*$F857,-3)</f>
        <v>38730000</v>
      </c>
      <c r="H857" s="31">
        <v>0</v>
      </c>
      <c r="I857" s="31">
        <f>SUMIF(dd_kuitansi[MAK],$A857,dd_kuitansi[Jumlah])</f>
        <v>0</v>
      </c>
      <c r="J857" s="31">
        <f t="shared" ref="J857:J866" si="15">$G857-SUM($H857:$I857)</f>
        <v>38730000</v>
      </c>
    </row>
    <row r="858" spans="1:13" s="9" customFormat="1" x14ac:dyDescent="0.25">
      <c r="A858" s="39" t="s">
        <v>1182</v>
      </c>
      <c r="B858" s="29" t="s">
        <v>1</v>
      </c>
      <c r="C858" s="30" t="s">
        <v>338</v>
      </c>
      <c r="D858" s="31">
        <v>10</v>
      </c>
      <c r="E858" s="32" t="s">
        <v>337</v>
      </c>
      <c r="F858" s="31">
        <v>33650000</v>
      </c>
      <c r="G858" s="31">
        <f t="shared" si="14"/>
        <v>336500000</v>
      </c>
      <c r="H858" s="31">
        <v>0</v>
      </c>
      <c r="I858" s="31">
        <f>SUMIF(dd_kuitansi[MAK],$A858,dd_kuitansi[Jumlah])</f>
        <v>0</v>
      </c>
      <c r="J858" s="31">
        <f t="shared" si="15"/>
        <v>336500000</v>
      </c>
      <c r="M858" s="184"/>
    </row>
    <row r="859" spans="1:13" x14ac:dyDescent="0.25">
      <c r="A859" s="40" t="s">
        <v>1183</v>
      </c>
      <c r="B859" s="29" t="s">
        <v>1</v>
      </c>
      <c r="C859" s="30" t="s">
        <v>339</v>
      </c>
      <c r="D859" s="31">
        <v>5</v>
      </c>
      <c r="E859" s="32" t="s">
        <v>337</v>
      </c>
      <c r="F859" s="31">
        <v>3640000</v>
      </c>
      <c r="G859" s="31">
        <f t="shared" si="14"/>
        <v>18200000</v>
      </c>
      <c r="H859" s="31">
        <v>0</v>
      </c>
      <c r="I859" s="31">
        <f>SUMIF(dd_kuitansi[MAK],$A859,dd_kuitansi[Jumlah])</f>
        <v>0</v>
      </c>
      <c r="J859" s="31">
        <f t="shared" si="15"/>
        <v>18200000</v>
      </c>
    </row>
    <row r="860" spans="1:13" x14ac:dyDescent="0.25">
      <c r="A860" s="40" t="s">
        <v>1184</v>
      </c>
      <c r="B860" s="29" t="s">
        <v>1</v>
      </c>
      <c r="C860" s="30" t="s">
        <v>340</v>
      </c>
      <c r="D860" s="31">
        <v>48</v>
      </c>
      <c r="E860" s="32" t="s">
        <v>337</v>
      </c>
      <c r="F860" s="31">
        <v>730000</v>
      </c>
      <c r="G860" s="31">
        <f t="shared" si="14"/>
        <v>35040000</v>
      </c>
      <c r="H860" s="31">
        <v>0</v>
      </c>
      <c r="I860" s="31">
        <f>SUMIF(dd_kuitansi[MAK],$A860,dd_kuitansi[Jumlah])</f>
        <v>0</v>
      </c>
      <c r="J860" s="31">
        <f t="shared" si="15"/>
        <v>35040000</v>
      </c>
    </row>
    <row r="861" spans="1:13" s="9" customFormat="1" x14ac:dyDescent="0.25">
      <c r="A861" s="39" t="s">
        <v>1185</v>
      </c>
      <c r="B861" s="29" t="s">
        <v>1</v>
      </c>
      <c r="C861" s="30" t="s">
        <v>341</v>
      </c>
      <c r="D861" s="31">
        <v>35</v>
      </c>
      <c r="E861" s="32" t="s">
        <v>337</v>
      </c>
      <c r="F861" s="31">
        <v>730000</v>
      </c>
      <c r="G861" s="31">
        <f t="shared" si="14"/>
        <v>25550000</v>
      </c>
      <c r="H861" s="31">
        <v>0</v>
      </c>
      <c r="I861" s="31">
        <f>SUMIF(dd_kuitansi[MAK],$A861,dd_kuitansi[Jumlah])</f>
        <v>0</v>
      </c>
      <c r="J861" s="31">
        <f t="shared" si="15"/>
        <v>25550000</v>
      </c>
      <c r="M861" s="184"/>
    </row>
    <row r="862" spans="1:13" s="9" customFormat="1" x14ac:dyDescent="0.25">
      <c r="A862" s="39" t="s">
        <v>1186</v>
      </c>
      <c r="B862" s="29" t="s">
        <v>1</v>
      </c>
      <c r="C862" s="30" t="s">
        <v>342</v>
      </c>
      <c r="D862" s="31">
        <v>45</v>
      </c>
      <c r="E862" s="32" t="s">
        <v>337</v>
      </c>
      <c r="F862" s="31">
        <v>690000</v>
      </c>
      <c r="G862" s="31">
        <f t="shared" si="14"/>
        <v>31050000</v>
      </c>
      <c r="H862" s="31">
        <v>0</v>
      </c>
      <c r="I862" s="31">
        <f>SUMIF(dd_kuitansi[MAK],$A862,dd_kuitansi[Jumlah])</f>
        <v>0</v>
      </c>
      <c r="J862" s="31">
        <f t="shared" si="15"/>
        <v>31050000</v>
      </c>
      <c r="M862" s="184"/>
    </row>
    <row r="863" spans="1:13" x14ac:dyDescent="0.25">
      <c r="A863" s="40" t="s">
        <v>1187</v>
      </c>
      <c r="B863" s="29" t="s">
        <v>1</v>
      </c>
      <c r="C863" s="30" t="s">
        <v>343</v>
      </c>
      <c r="D863" s="31">
        <v>4</v>
      </c>
      <c r="E863" s="32" t="s">
        <v>337</v>
      </c>
      <c r="F863" s="31">
        <v>5000000</v>
      </c>
      <c r="G863" s="31">
        <f t="shared" si="14"/>
        <v>20000000</v>
      </c>
      <c r="H863" s="31">
        <v>0</v>
      </c>
      <c r="I863" s="31">
        <f>SUMIF(dd_kuitansi[MAK],$A863,dd_kuitansi[Jumlah])</f>
        <v>0</v>
      </c>
      <c r="J863" s="31">
        <f t="shared" si="15"/>
        <v>20000000</v>
      </c>
    </row>
    <row r="864" spans="1:13" x14ac:dyDescent="0.25">
      <c r="A864" s="40" t="s">
        <v>1188</v>
      </c>
      <c r="B864" s="29" t="s">
        <v>1</v>
      </c>
      <c r="C864" s="30" t="s">
        <v>344</v>
      </c>
      <c r="D864" s="31">
        <v>1</v>
      </c>
      <c r="E864" s="32" t="s">
        <v>141</v>
      </c>
      <c r="F864" s="31">
        <v>25000000</v>
      </c>
      <c r="G864" s="31">
        <f t="shared" si="14"/>
        <v>25000000</v>
      </c>
      <c r="H864" s="31">
        <v>0</v>
      </c>
      <c r="I864" s="31">
        <f>SUMIF(dd_kuitansi[MAK],$A864,dd_kuitansi[Jumlah])</f>
        <v>0</v>
      </c>
      <c r="J864" s="31">
        <f t="shared" si="15"/>
        <v>25000000</v>
      </c>
    </row>
    <row r="865" spans="1:13" x14ac:dyDescent="0.25">
      <c r="A865" s="40" t="s">
        <v>1189</v>
      </c>
      <c r="B865" s="29" t="s">
        <v>1</v>
      </c>
      <c r="C865" s="30" t="s">
        <v>345</v>
      </c>
      <c r="D865" s="31">
        <v>7</v>
      </c>
      <c r="E865" s="32" t="s">
        <v>337</v>
      </c>
      <c r="F865" s="31">
        <v>470000</v>
      </c>
      <c r="G865" s="31">
        <f t="shared" si="14"/>
        <v>3290000</v>
      </c>
      <c r="H865" s="31">
        <v>0</v>
      </c>
      <c r="I865" s="31">
        <f>SUMIF(dd_kuitansi[MAK],$A865,dd_kuitansi[Jumlah])</f>
        <v>0</v>
      </c>
      <c r="J865" s="31">
        <f t="shared" si="15"/>
        <v>3290000</v>
      </c>
    </row>
    <row r="866" spans="1:13" x14ac:dyDescent="0.25">
      <c r="A866" s="40" t="s">
        <v>1190</v>
      </c>
      <c r="B866" s="29" t="s">
        <v>1</v>
      </c>
      <c r="C866" s="30" t="s">
        <v>346</v>
      </c>
      <c r="D866" s="31">
        <v>67</v>
      </c>
      <c r="E866" s="32" t="s">
        <v>347</v>
      </c>
      <c r="F866" s="31">
        <v>80000</v>
      </c>
      <c r="G866" s="31">
        <f t="shared" si="14"/>
        <v>5360000</v>
      </c>
      <c r="H866" s="31">
        <v>0</v>
      </c>
      <c r="I866" s="31">
        <f>SUMIF(dd_kuitansi[MAK],$A866,dd_kuitansi[Jumlah])</f>
        <v>0</v>
      </c>
      <c r="J866" s="31">
        <f t="shared" si="15"/>
        <v>5360000</v>
      </c>
    </row>
    <row r="867" spans="1:13" x14ac:dyDescent="0.25">
      <c r="A867" s="40" t="s">
        <v>675</v>
      </c>
      <c r="B867" s="17" t="s">
        <v>348</v>
      </c>
      <c r="C867" s="18" t="s">
        <v>349</v>
      </c>
      <c r="D867" s="19">
        <v>0</v>
      </c>
      <c r="E867" s="20" t="s">
        <v>1</v>
      </c>
      <c r="F867" s="19">
        <v>0</v>
      </c>
      <c r="G867" s="19">
        <f>G868</f>
        <v>18000000</v>
      </c>
      <c r="H867" s="19">
        <f>H868</f>
        <v>0</v>
      </c>
      <c r="I867" s="19">
        <f>I868</f>
        <v>0</v>
      </c>
      <c r="J867" s="19">
        <f>J868</f>
        <v>18000000</v>
      </c>
    </row>
    <row r="868" spans="1:13" x14ac:dyDescent="0.25">
      <c r="A868" s="40" t="s">
        <v>1191</v>
      </c>
      <c r="B868" s="29" t="s">
        <v>1</v>
      </c>
      <c r="C868" s="30" t="s">
        <v>350</v>
      </c>
      <c r="D868" s="31">
        <v>12</v>
      </c>
      <c r="E868" s="32" t="s">
        <v>218</v>
      </c>
      <c r="F868" s="31">
        <v>1500000</v>
      </c>
      <c r="G868" s="31">
        <f>ROUNDDOWN($D868*$F868,-3)</f>
        <v>18000000</v>
      </c>
      <c r="H868" s="31">
        <v>0</v>
      </c>
      <c r="I868" s="31">
        <f>SUMIF(dd_kuitansi[MAK],$A868,dd_kuitansi[Jumlah])</f>
        <v>0</v>
      </c>
      <c r="J868" s="31">
        <f>$G868-SUM($H868:$I868)</f>
        <v>18000000</v>
      </c>
    </row>
    <row r="869" spans="1:13" x14ac:dyDescent="0.25">
      <c r="A869" s="40" t="s">
        <v>440</v>
      </c>
      <c r="B869" s="25" t="s">
        <v>68</v>
      </c>
      <c r="C869" s="26" t="s">
        <v>351</v>
      </c>
      <c r="D869" s="27">
        <v>0</v>
      </c>
      <c r="E869" s="28" t="s">
        <v>1</v>
      </c>
      <c r="F869" s="27">
        <v>0</v>
      </c>
      <c r="G869" s="27">
        <f>SUM(G870,G874)</f>
        <v>343880000</v>
      </c>
      <c r="H869" s="27">
        <f>SUM(H870,H874)</f>
        <v>0</v>
      </c>
      <c r="I869" s="27">
        <f>SUM(I870,I874)</f>
        <v>0</v>
      </c>
      <c r="J869" s="27">
        <f>SUM(J870,J874)</f>
        <v>343880000</v>
      </c>
    </row>
    <row r="870" spans="1:13" x14ac:dyDescent="0.25">
      <c r="A870" s="40" t="s">
        <v>676</v>
      </c>
      <c r="B870" s="17" t="s">
        <v>302</v>
      </c>
      <c r="C870" s="18" t="s">
        <v>303</v>
      </c>
      <c r="D870" s="19">
        <v>0</v>
      </c>
      <c r="E870" s="20" t="s">
        <v>1</v>
      </c>
      <c r="F870" s="19">
        <v>0</v>
      </c>
      <c r="G870" s="19">
        <f>G871</f>
        <v>94240000</v>
      </c>
      <c r="H870" s="19">
        <f>H871</f>
        <v>0</v>
      </c>
      <c r="I870" s="19">
        <f>I871</f>
        <v>0</v>
      </c>
      <c r="J870" s="19">
        <f>J871</f>
        <v>94240000</v>
      </c>
    </row>
    <row r="871" spans="1:13" x14ac:dyDescent="0.25">
      <c r="A871" s="40"/>
      <c r="B871" s="29" t="s">
        <v>1</v>
      </c>
      <c r="C871" s="33" t="s">
        <v>352</v>
      </c>
      <c r="D871" s="31">
        <v>0</v>
      </c>
      <c r="E871" s="32" t="s">
        <v>1</v>
      </c>
      <c r="F871" s="31">
        <v>0</v>
      </c>
      <c r="G871" s="19">
        <f>SUM(G872:G873)</f>
        <v>94240000</v>
      </c>
      <c r="H871" s="19">
        <f>SUM(H872:H873)</f>
        <v>0</v>
      </c>
      <c r="I871" s="19">
        <f>SUM(I872:I873)</f>
        <v>0</v>
      </c>
      <c r="J871" s="19">
        <f>SUM(J872:J873)</f>
        <v>94240000</v>
      </c>
    </row>
    <row r="872" spans="1:13" x14ac:dyDescent="0.25">
      <c r="A872" s="40" t="s">
        <v>1192</v>
      </c>
      <c r="B872" s="29" t="s">
        <v>1</v>
      </c>
      <c r="C872" s="30" t="s">
        <v>353</v>
      </c>
      <c r="D872" s="31">
        <v>116</v>
      </c>
      <c r="E872" s="32" t="s">
        <v>354</v>
      </c>
      <c r="F872" s="31">
        <v>670000</v>
      </c>
      <c r="G872" s="31">
        <f>ROUNDDOWN($D872*$F872,-3)</f>
        <v>77720000</v>
      </c>
      <c r="H872" s="31">
        <v>0</v>
      </c>
      <c r="I872" s="31">
        <f>SUMIF(dd_kuitansi[MAK],$A872,dd_kuitansi[Jumlah])</f>
        <v>0</v>
      </c>
      <c r="J872" s="31">
        <f>$G872-SUM($H872:$I872)</f>
        <v>77720000</v>
      </c>
    </row>
    <row r="873" spans="1:13" s="9" customFormat="1" x14ac:dyDescent="0.25">
      <c r="A873" s="39" t="s">
        <v>1193</v>
      </c>
      <c r="B873" s="29" t="s">
        <v>1</v>
      </c>
      <c r="C873" s="30" t="s">
        <v>355</v>
      </c>
      <c r="D873" s="31">
        <v>28</v>
      </c>
      <c r="E873" s="32" t="s">
        <v>354</v>
      </c>
      <c r="F873" s="31">
        <v>590000</v>
      </c>
      <c r="G873" s="31">
        <f>ROUNDDOWN($D873*$F873,-3)</f>
        <v>16520000</v>
      </c>
      <c r="H873" s="31">
        <v>0</v>
      </c>
      <c r="I873" s="31">
        <f>SUMIF(dd_kuitansi[MAK],$A873,dd_kuitansi[Jumlah])</f>
        <v>0</v>
      </c>
      <c r="J873" s="31">
        <f>$G873-SUM($H873:$I873)</f>
        <v>16520000</v>
      </c>
      <c r="M873" s="184"/>
    </row>
    <row r="874" spans="1:13" x14ac:dyDescent="0.25">
      <c r="A874" s="40" t="s">
        <v>677</v>
      </c>
      <c r="B874" s="17" t="s">
        <v>356</v>
      </c>
      <c r="C874" s="18" t="s">
        <v>357</v>
      </c>
      <c r="D874" s="19">
        <v>0</v>
      </c>
      <c r="E874" s="20" t="s">
        <v>1</v>
      </c>
      <c r="F874" s="19">
        <v>0</v>
      </c>
      <c r="G874" s="19">
        <f>SUM(G875:G889)</f>
        <v>249640000</v>
      </c>
      <c r="H874" s="19">
        <f>SUM(H875:H889)</f>
        <v>0</v>
      </c>
      <c r="I874" s="19">
        <f>SUM(I875:I889)</f>
        <v>0</v>
      </c>
      <c r="J874" s="19">
        <f>SUM(J875:J889)</f>
        <v>249640000</v>
      </c>
    </row>
    <row r="875" spans="1:13" s="9" customFormat="1" x14ac:dyDescent="0.25">
      <c r="A875" s="39" t="s">
        <v>1194</v>
      </c>
      <c r="B875" s="29" t="s">
        <v>1</v>
      </c>
      <c r="C875" s="30" t="s">
        <v>358</v>
      </c>
      <c r="D875" s="31">
        <v>12</v>
      </c>
      <c r="E875" s="32" t="s">
        <v>310</v>
      </c>
      <c r="F875" s="31">
        <v>3420000</v>
      </c>
      <c r="G875" s="31">
        <f t="shared" ref="G875:G889" si="16">ROUNDDOWN($D875*$F875,-3)</f>
        <v>41040000</v>
      </c>
      <c r="H875" s="31">
        <v>0</v>
      </c>
      <c r="I875" s="31">
        <f>SUMIF(dd_kuitansi[MAK],$A875,dd_kuitansi[Jumlah])</f>
        <v>0</v>
      </c>
      <c r="J875" s="31">
        <f t="shared" ref="J875:J889" si="17">$G875-SUM($H875:$I875)</f>
        <v>41040000</v>
      </c>
      <c r="M875" s="184"/>
    </row>
    <row r="876" spans="1:13" s="9" customFormat="1" x14ac:dyDescent="0.25">
      <c r="A876" s="39" t="s">
        <v>1195</v>
      </c>
      <c r="B876" s="29" t="s">
        <v>1</v>
      </c>
      <c r="C876" s="30" t="s">
        <v>359</v>
      </c>
      <c r="D876" s="31">
        <v>12</v>
      </c>
      <c r="E876" s="32" t="s">
        <v>310</v>
      </c>
      <c r="F876" s="31">
        <v>3320000</v>
      </c>
      <c r="G876" s="31">
        <f t="shared" si="16"/>
        <v>39840000</v>
      </c>
      <c r="H876" s="31">
        <v>0</v>
      </c>
      <c r="I876" s="31">
        <f>SUMIF(dd_kuitansi[MAK],$A876,dd_kuitansi[Jumlah])</f>
        <v>0</v>
      </c>
      <c r="J876" s="31">
        <f t="shared" si="17"/>
        <v>39840000</v>
      </c>
      <c r="M876" s="184"/>
    </row>
    <row r="877" spans="1:13" x14ac:dyDescent="0.25">
      <c r="A877" s="40" t="s">
        <v>1196</v>
      </c>
      <c r="B877" s="29" t="s">
        <v>1</v>
      </c>
      <c r="C877" s="30" t="s">
        <v>360</v>
      </c>
      <c r="D877" s="31">
        <v>12</v>
      </c>
      <c r="E877" s="32" t="s">
        <v>310</v>
      </c>
      <c r="F877" s="31">
        <v>1520000</v>
      </c>
      <c r="G877" s="31">
        <f t="shared" si="16"/>
        <v>18240000</v>
      </c>
      <c r="H877" s="31">
        <v>0</v>
      </c>
      <c r="I877" s="31">
        <f>SUMIF(dd_kuitansi[MAK],$A877,dd_kuitansi[Jumlah])</f>
        <v>0</v>
      </c>
      <c r="J877" s="31">
        <f t="shared" si="17"/>
        <v>18240000</v>
      </c>
    </row>
    <row r="878" spans="1:13" x14ac:dyDescent="0.25">
      <c r="A878" s="40" t="s">
        <v>1197</v>
      </c>
      <c r="B878" s="29" t="s">
        <v>1</v>
      </c>
      <c r="C878" s="30" t="s">
        <v>361</v>
      </c>
      <c r="D878" s="31">
        <v>12</v>
      </c>
      <c r="E878" s="32" t="s">
        <v>310</v>
      </c>
      <c r="F878" s="31">
        <v>1320000</v>
      </c>
      <c r="G878" s="31">
        <f t="shared" si="16"/>
        <v>15840000</v>
      </c>
      <c r="H878" s="31">
        <v>0</v>
      </c>
      <c r="I878" s="31">
        <f>SUMIF(dd_kuitansi[MAK],$A878,dd_kuitansi[Jumlah])</f>
        <v>0</v>
      </c>
      <c r="J878" s="31">
        <f t="shared" si="17"/>
        <v>15840000</v>
      </c>
    </row>
    <row r="879" spans="1:13" ht="25.5" x14ac:dyDescent="0.25">
      <c r="A879" s="40" t="s">
        <v>1198</v>
      </c>
      <c r="B879" s="29" t="s">
        <v>1</v>
      </c>
      <c r="C879" s="30" t="s">
        <v>362</v>
      </c>
      <c r="D879" s="31">
        <v>48</v>
      </c>
      <c r="E879" s="32" t="s">
        <v>310</v>
      </c>
      <c r="F879" s="31">
        <v>980000</v>
      </c>
      <c r="G879" s="31">
        <f t="shared" si="16"/>
        <v>47040000</v>
      </c>
      <c r="H879" s="31">
        <v>0</v>
      </c>
      <c r="I879" s="31">
        <f>SUMIF(dd_kuitansi[MAK],$A879,dd_kuitansi[Jumlah])</f>
        <v>0</v>
      </c>
      <c r="J879" s="31">
        <f t="shared" si="17"/>
        <v>47040000</v>
      </c>
    </row>
    <row r="880" spans="1:13" s="9" customFormat="1" x14ac:dyDescent="0.25">
      <c r="A880" s="39" t="s">
        <v>1199</v>
      </c>
      <c r="B880" s="29" t="s">
        <v>1</v>
      </c>
      <c r="C880" s="30" t="s">
        <v>363</v>
      </c>
      <c r="D880" s="31">
        <v>24</v>
      </c>
      <c r="E880" s="32" t="s">
        <v>310</v>
      </c>
      <c r="F880" s="31">
        <v>980000</v>
      </c>
      <c r="G880" s="31">
        <f t="shared" si="16"/>
        <v>23520000</v>
      </c>
      <c r="H880" s="31">
        <v>0</v>
      </c>
      <c r="I880" s="31">
        <f>SUMIF(dd_kuitansi[MAK],$A880,dd_kuitansi[Jumlah])</f>
        <v>0</v>
      </c>
      <c r="J880" s="31">
        <f t="shared" si="17"/>
        <v>23520000</v>
      </c>
      <c r="M880" s="184"/>
    </row>
    <row r="881" spans="1:13" ht="25.5" x14ac:dyDescent="0.25">
      <c r="A881" s="40" t="s">
        <v>1200</v>
      </c>
      <c r="B881" s="29" t="s">
        <v>1</v>
      </c>
      <c r="C881" s="30" t="s">
        <v>364</v>
      </c>
      <c r="D881" s="31">
        <v>36</v>
      </c>
      <c r="E881" s="32" t="s">
        <v>310</v>
      </c>
      <c r="F881" s="31">
        <v>680000</v>
      </c>
      <c r="G881" s="31">
        <f t="shared" si="16"/>
        <v>24480000</v>
      </c>
      <c r="H881" s="31">
        <v>0</v>
      </c>
      <c r="I881" s="31">
        <f>SUMIF(dd_kuitansi[MAK],$A881,dd_kuitansi[Jumlah])</f>
        <v>0</v>
      </c>
      <c r="J881" s="31">
        <f t="shared" si="17"/>
        <v>24480000</v>
      </c>
    </row>
    <row r="882" spans="1:13" ht="25.5" x14ac:dyDescent="0.25">
      <c r="A882" s="40" t="s">
        <v>1201</v>
      </c>
      <c r="B882" s="29" t="s">
        <v>1</v>
      </c>
      <c r="C882" s="30" t="s">
        <v>365</v>
      </c>
      <c r="D882" s="31">
        <v>24</v>
      </c>
      <c r="E882" s="32" t="s">
        <v>310</v>
      </c>
      <c r="F882" s="31">
        <v>300000</v>
      </c>
      <c r="G882" s="31">
        <f t="shared" si="16"/>
        <v>7200000</v>
      </c>
      <c r="H882" s="31">
        <v>0</v>
      </c>
      <c r="I882" s="31">
        <f>SUMIF(dd_kuitansi[MAK],$A882,dd_kuitansi[Jumlah])</f>
        <v>0</v>
      </c>
      <c r="J882" s="31">
        <f t="shared" si="17"/>
        <v>7200000</v>
      </c>
    </row>
    <row r="883" spans="1:13" ht="25.5" x14ac:dyDescent="0.25">
      <c r="A883" s="40" t="s">
        <v>1202</v>
      </c>
      <c r="B883" s="29" t="s">
        <v>1</v>
      </c>
      <c r="C883" s="30" t="s">
        <v>366</v>
      </c>
      <c r="D883" s="31">
        <v>24</v>
      </c>
      <c r="E883" s="32" t="s">
        <v>310</v>
      </c>
      <c r="F883" s="31">
        <v>300000</v>
      </c>
      <c r="G883" s="31">
        <f t="shared" si="16"/>
        <v>7200000</v>
      </c>
      <c r="H883" s="31">
        <v>0</v>
      </c>
      <c r="I883" s="31">
        <f>SUMIF(dd_kuitansi[MAK],$A883,dd_kuitansi[Jumlah])</f>
        <v>0</v>
      </c>
      <c r="J883" s="31">
        <f t="shared" si="17"/>
        <v>7200000</v>
      </c>
    </row>
    <row r="884" spans="1:13" ht="25.5" x14ac:dyDescent="0.25">
      <c r="A884" s="40" t="s">
        <v>1203</v>
      </c>
      <c r="B884" s="29" t="s">
        <v>1</v>
      </c>
      <c r="C884" s="30" t="s">
        <v>367</v>
      </c>
      <c r="D884" s="31">
        <v>24</v>
      </c>
      <c r="E884" s="32" t="s">
        <v>310</v>
      </c>
      <c r="F884" s="31">
        <v>250000</v>
      </c>
      <c r="G884" s="31">
        <f t="shared" si="16"/>
        <v>6000000</v>
      </c>
      <c r="H884" s="31">
        <v>0</v>
      </c>
      <c r="I884" s="31">
        <f>SUMIF(dd_kuitansi[MAK],$A884,dd_kuitansi[Jumlah])</f>
        <v>0</v>
      </c>
      <c r="J884" s="31">
        <f t="shared" si="17"/>
        <v>6000000</v>
      </c>
    </row>
    <row r="885" spans="1:13" ht="25.5" x14ac:dyDescent="0.25">
      <c r="A885" s="40" t="s">
        <v>1204</v>
      </c>
      <c r="B885" s="29" t="s">
        <v>1</v>
      </c>
      <c r="C885" s="30" t="s">
        <v>368</v>
      </c>
      <c r="D885" s="31">
        <v>72</v>
      </c>
      <c r="E885" s="32" t="s">
        <v>310</v>
      </c>
      <c r="F885" s="31">
        <v>150000</v>
      </c>
      <c r="G885" s="31">
        <f t="shared" si="16"/>
        <v>10800000</v>
      </c>
      <c r="H885" s="31">
        <v>0</v>
      </c>
      <c r="I885" s="31">
        <f>SUMIF(dd_kuitansi[MAK],$A885,dd_kuitansi[Jumlah])</f>
        <v>0</v>
      </c>
      <c r="J885" s="31">
        <f t="shared" si="17"/>
        <v>10800000</v>
      </c>
    </row>
    <row r="886" spans="1:13" x14ac:dyDescent="0.25">
      <c r="A886" s="40" t="s">
        <v>1205</v>
      </c>
      <c r="B886" s="29" t="s">
        <v>1</v>
      </c>
      <c r="C886" s="30" t="s">
        <v>369</v>
      </c>
      <c r="D886" s="31">
        <v>12</v>
      </c>
      <c r="E886" s="32" t="s">
        <v>310</v>
      </c>
      <c r="F886" s="31">
        <v>570000</v>
      </c>
      <c r="G886" s="31">
        <f t="shared" si="16"/>
        <v>6840000</v>
      </c>
      <c r="H886" s="31">
        <v>0</v>
      </c>
      <c r="I886" s="31">
        <f>SUMIF(dd_kuitansi[MAK],$A886,dd_kuitansi[Jumlah])</f>
        <v>0</v>
      </c>
      <c r="J886" s="31">
        <f t="shared" si="17"/>
        <v>6840000</v>
      </c>
    </row>
    <row r="887" spans="1:13" x14ac:dyDescent="0.25">
      <c r="A887" s="40" t="s">
        <v>1206</v>
      </c>
      <c r="B887" s="29" t="s">
        <v>1</v>
      </c>
      <c r="C887" s="30" t="s">
        <v>370</v>
      </c>
      <c r="D887" s="31">
        <v>1</v>
      </c>
      <c r="E887" s="32" t="s">
        <v>36</v>
      </c>
      <c r="F887" s="31">
        <v>400000</v>
      </c>
      <c r="G887" s="31">
        <f t="shared" si="16"/>
        <v>400000</v>
      </c>
      <c r="H887" s="31">
        <v>0</v>
      </c>
      <c r="I887" s="31">
        <f>SUMIF(dd_kuitansi[MAK],$A887,dd_kuitansi[Jumlah])</f>
        <v>0</v>
      </c>
      <c r="J887" s="31">
        <f t="shared" si="17"/>
        <v>400000</v>
      </c>
    </row>
    <row r="888" spans="1:13" x14ac:dyDescent="0.25">
      <c r="A888" s="40" t="s">
        <v>1207</v>
      </c>
      <c r="B888" s="29" t="s">
        <v>1</v>
      </c>
      <c r="C888" s="30" t="s">
        <v>371</v>
      </c>
      <c r="D888" s="31">
        <v>1</v>
      </c>
      <c r="E888" s="32" t="s">
        <v>36</v>
      </c>
      <c r="F888" s="31">
        <v>300000</v>
      </c>
      <c r="G888" s="31">
        <f t="shared" si="16"/>
        <v>300000</v>
      </c>
      <c r="H888" s="31">
        <v>0</v>
      </c>
      <c r="I888" s="31">
        <f>SUMIF(dd_kuitansi[MAK],$A888,dd_kuitansi[Jumlah])</f>
        <v>0</v>
      </c>
      <c r="J888" s="31">
        <f t="shared" si="17"/>
        <v>300000</v>
      </c>
    </row>
    <row r="889" spans="1:13" x14ac:dyDescent="0.25">
      <c r="A889" s="40" t="s">
        <v>1208</v>
      </c>
      <c r="B889" s="34" t="s">
        <v>1</v>
      </c>
      <c r="C889" s="35" t="s">
        <v>372</v>
      </c>
      <c r="D889" s="36">
        <v>3</v>
      </c>
      <c r="E889" s="37" t="s">
        <v>36</v>
      </c>
      <c r="F889" s="36">
        <v>300000</v>
      </c>
      <c r="G889" s="31">
        <f t="shared" si="16"/>
        <v>900000</v>
      </c>
      <c r="H889" s="31">
        <v>0</v>
      </c>
      <c r="I889" s="31">
        <f>SUMIF(dd_kuitansi[MAK],$A889,dd_kuitansi[Jumlah])</f>
        <v>0</v>
      </c>
      <c r="J889" s="31">
        <f t="shared" si="17"/>
        <v>900000</v>
      </c>
      <c r="M889" s="181" t="b">
        <f>ISBLANK(B889)</f>
        <v>0</v>
      </c>
    </row>
    <row r="894" spans="1:13" x14ac:dyDescent="0.25">
      <c r="M894" s="181">
        <f>1</f>
        <v>1</v>
      </c>
    </row>
  </sheetData>
  <autoFilter ref="B14:J889" xr:uid="{D9241E56-EEE2-49B7-9567-D81982B9961D}"/>
  <mergeCells count="26">
    <mergeCell ref="C3:D6"/>
    <mergeCell ref="F10:G10"/>
    <mergeCell ref="H8:I8"/>
    <mergeCell ref="H9:I9"/>
    <mergeCell ref="H10:I10"/>
    <mergeCell ref="C9:D10"/>
    <mergeCell ref="N8:U8"/>
    <mergeCell ref="F8:G8"/>
    <mergeCell ref="F9:G9"/>
    <mergeCell ref="F3:G3"/>
    <mergeCell ref="N9:U9"/>
    <mergeCell ref="N3:U3"/>
    <mergeCell ref="N4:U4"/>
    <mergeCell ref="N5:U5"/>
    <mergeCell ref="N6:U6"/>
    <mergeCell ref="N7:U7"/>
    <mergeCell ref="F4:J6"/>
    <mergeCell ref="H12:I12"/>
    <mergeCell ref="J12:J13"/>
    <mergeCell ref="G7:I7"/>
    <mergeCell ref="C12:C13"/>
    <mergeCell ref="B12:B13"/>
    <mergeCell ref="G12:G13"/>
    <mergeCell ref="F12:F13"/>
    <mergeCell ref="E12:E13"/>
    <mergeCell ref="D12:D13"/>
  </mergeCells>
  <phoneticPr fontId="5" type="noConversion"/>
  <conditionalFormatting sqref="G15:G102 G104:G127 G130:G179 G182:G197 G200:G216 G218:G233 G235:G482 G484:G496 G498:G512 G514:G741 G743:G759 G761:G768 G770:G889">
    <cfRule type="expression" dxfId="16" priority="18">
      <formula>_xlfn.ISFORMULA(G15)=FALSE</formula>
    </cfRule>
  </conditionalFormatting>
  <conditionalFormatting sqref="G198">
    <cfRule type="expression" dxfId="15" priority="17">
      <formula>_xlfn.ISFORMULA(G198)=FALSE</formula>
    </cfRule>
  </conditionalFormatting>
  <conditionalFormatting sqref="G180">
    <cfRule type="expression" dxfId="14" priority="16">
      <formula>_xlfn.ISFORMULA(G180)=FALSE</formula>
    </cfRule>
  </conditionalFormatting>
  <conditionalFormatting sqref="G128">
    <cfRule type="expression" dxfId="13" priority="15">
      <formula>_xlfn.ISFORMULA(G128)=FALSE</formula>
    </cfRule>
  </conditionalFormatting>
  <conditionalFormatting sqref="G7 F4 C9">
    <cfRule type="containsText" dxfId="12" priority="6" operator="containsText" text="Masukkan kata pencarian kegiatan disini….">
      <formula>NOT(ISERROR(SEARCH("Masukkan kata pencarian kegiatan disini….",C4)))</formula>
    </cfRule>
  </conditionalFormatting>
  <conditionalFormatting sqref="G11:I11 M4:M6 M3:N3 N4 N6:N10">
    <cfRule type="containsText" dxfId="11" priority="5" operator="containsText" text="Masukkan kata pencarian kegiatan disini….">
      <formula>NOT(ISERROR(SEARCH("Masukkan kata pencarian kegiatan disini….",G3)))</formula>
    </cfRule>
  </conditionalFormatting>
  <conditionalFormatting sqref="B15:J10000">
    <cfRule type="expression" dxfId="10" priority="4">
      <formula>$B$1=ROW()</formula>
    </cfRule>
  </conditionalFormatting>
  <conditionalFormatting sqref="N5">
    <cfRule type="containsText" dxfId="9" priority="2" operator="containsText" text="Masukkan kata pencarian kegiatan disini….">
      <formula>NOT(ISERROR(SEARCH("Masukkan kata pencarian kegiatan disini….",N5)))</formula>
    </cfRule>
  </conditionalFormatting>
  <conditionalFormatting sqref="H10:I10">
    <cfRule type="cellIs" dxfId="8" priority="1" operator="lessThan">
      <formula>0</formula>
    </cfRule>
  </conditionalFormatting>
  <pageMargins left="0.7" right="0.7" top="0.75" bottom="0.75" header="0.3" footer="0.3"/>
  <pageSetup paperSize="9" scale="5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mdPilih">
          <controlPr defaultSize="0" autoLine="0" r:id="rId5">
            <anchor moveWithCells="1">
              <from>
                <xdr:col>9</xdr:col>
                <xdr:colOff>85725</xdr:colOff>
                <xdr:row>7</xdr:row>
                <xdr:rowOff>66675</xdr:rowOff>
              </from>
              <to>
                <xdr:col>9</xdr:col>
                <xdr:colOff>1019175</xdr:colOff>
                <xdr:row>9</xdr:row>
                <xdr:rowOff>28575</xdr:rowOff>
              </to>
            </anchor>
          </controlPr>
        </control>
      </mc:Choice>
      <mc:Fallback>
        <control shapeId="1028" r:id="rId4" name="cmdPilih"/>
      </mc:Fallback>
    </mc:AlternateContent>
    <mc:AlternateContent xmlns:mc="http://schemas.openxmlformats.org/markup-compatibility/2006">
      <mc:Choice Requires="x14">
        <control shapeId="1029" r:id="rId6" name="getFormula">
          <controlPr defaultSize="0" autoLine="0" r:id="rId7">
            <anchor moveWithCells="1">
              <from>
                <xdr:col>12</xdr:col>
                <xdr:colOff>790575</xdr:colOff>
                <xdr:row>885</xdr:row>
                <xdr:rowOff>9525</xdr:rowOff>
              </from>
              <to>
                <xdr:col>15</xdr:col>
                <xdr:colOff>342900</xdr:colOff>
                <xdr:row>887</xdr:row>
                <xdr:rowOff>142875</xdr:rowOff>
              </to>
            </anchor>
          </controlPr>
        </control>
      </mc:Choice>
      <mc:Fallback>
        <control shapeId="1029" r:id="rId6" name="getFormula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autoFill="0" autoPict="0" macro="[0]!Lembar1.getAkun">
            <anchor moveWithCells="1" sizeWithCells="1">
              <from>
                <xdr:col>1</xdr:col>
                <xdr:colOff>257175</xdr:colOff>
                <xdr:row>0</xdr:row>
                <xdr:rowOff>0</xdr:rowOff>
              </from>
              <to>
                <xdr:col>1</xdr:col>
                <xdr:colOff>923925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82</vt:i4>
      </vt:variant>
    </vt:vector>
  </HeadingPairs>
  <TitlesOfParts>
    <vt:vector size="92" baseType="lpstr">
      <vt:lpstr>Setting Aplikasi</vt:lpstr>
      <vt:lpstr>Transaksi GUP</vt:lpstr>
      <vt:lpstr>Cetak_KWT</vt:lpstr>
      <vt:lpstr>Cetak_KWT_DETIL</vt:lpstr>
      <vt:lpstr>Cetak_SPBY</vt:lpstr>
      <vt:lpstr>Kuitansi</vt:lpstr>
      <vt:lpstr>Detil Kuitansi</vt:lpstr>
      <vt:lpstr>Barang</vt:lpstr>
      <vt:lpstr>Supplier</vt:lpstr>
      <vt:lpstr>Database</vt:lpstr>
      <vt:lpstr>Akun_Belanja</vt:lpstr>
      <vt:lpstr>AKUN_RKAKL</vt:lpstr>
      <vt:lpstr>Bendahara</vt:lpstr>
      <vt:lpstr>'Transaksi GUP'!BOWO</vt:lpstr>
      <vt:lpstr>direktur</vt:lpstr>
      <vt:lpstr>Harga_Brg</vt:lpstr>
      <vt:lpstr>Hsat_Brg</vt:lpstr>
      <vt:lpstr>jml_itemBrg</vt:lpstr>
      <vt:lpstr>jml_KWT</vt:lpstr>
      <vt:lpstr>kd_ketAkun</vt:lpstr>
      <vt:lpstr>kd_ketDetil</vt:lpstr>
      <vt:lpstr>kd_ketKgt</vt:lpstr>
      <vt:lpstr>kd_ketKmpnen</vt:lpstr>
      <vt:lpstr>kd_ketOutput</vt:lpstr>
      <vt:lpstr>kd_ketSkmpnen</vt:lpstr>
      <vt:lpstr>kd_ketSoutput</vt:lpstr>
      <vt:lpstr>Keperluan_Belanja</vt:lpstr>
      <vt:lpstr>Ket_Akun_Belanja</vt:lpstr>
      <vt:lpstr>ketAkun</vt:lpstr>
      <vt:lpstr>ketDetil</vt:lpstr>
      <vt:lpstr>ketKgt</vt:lpstr>
      <vt:lpstr>ketKmpnen</vt:lpstr>
      <vt:lpstr>ketOutput</vt:lpstr>
      <vt:lpstr>ketSkmpnen</vt:lpstr>
      <vt:lpstr>ketSoutput</vt:lpstr>
      <vt:lpstr>Kgt_Belanja</vt:lpstr>
      <vt:lpstr>Kode_Satker</vt:lpstr>
      <vt:lpstr>kota_KWT</vt:lpstr>
      <vt:lpstr>KPA_PPK</vt:lpstr>
      <vt:lpstr>MAK</vt:lpstr>
      <vt:lpstr>NIP_BP</vt:lpstr>
      <vt:lpstr>NIP_Pemeriksa</vt:lpstr>
      <vt:lpstr>NIP_PPK</vt:lpstr>
      <vt:lpstr>Nm_Brg</vt:lpstr>
      <vt:lpstr>No_Bukti</vt:lpstr>
      <vt:lpstr>no_KWT</vt:lpstr>
      <vt:lpstr>no_Kwt_Akhir</vt:lpstr>
      <vt:lpstr>Pagu_KWT</vt:lpstr>
      <vt:lpstr>Pagu_RKAKL</vt:lpstr>
      <vt:lpstr>Pemeriksa</vt:lpstr>
      <vt:lpstr>Pencarian</vt:lpstr>
      <vt:lpstr>persen_PPh21</vt:lpstr>
      <vt:lpstr>persen_PPh22</vt:lpstr>
      <vt:lpstr>persen_PPh23</vt:lpstr>
      <vt:lpstr>persen_PPh24</vt:lpstr>
      <vt:lpstr>persen_PPn</vt:lpstr>
      <vt:lpstr>perusahaan</vt:lpstr>
      <vt:lpstr>perusahaan_KWT</vt:lpstr>
      <vt:lpstr>PPK</vt:lpstr>
      <vt:lpstr>Cetak_KWT!Print_Area</vt:lpstr>
      <vt:lpstr>Cetak_KWT_DETIL!Print_Area</vt:lpstr>
      <vt:lpstr>Cetak_SPBY!Print_Area</vt:lpstr>
      <vt:lpstr>Database!Print_Area</vt:lpstr>
      <vt:lpstr>Real_KWT</vt:lpstr>
      <vt:lpstr>Real_Pagu</vt:lpstr>
      <vt:lpstr>Real_RKAKL</vt:lpstr>
      <vt:lpstr>rpPPh21</vt:lpstr>
      <vt:lpstr>rpPPh22</vt:lpstr>
      <vt:lpstr>rpPPh23</vt:lpstr>
      <vt:lpstr>rpPPh24</vt:lpstr>
      <vt:lpstr>rpPPn</vt:lpstr>
      <vt:lpstr>rpSPBY</vt:lpstr>
      <vt:lpstr>Sat_Brg</vt:lpstr>
      <vt:lpstr>Satker</vt:lpstr>
      <vt:lpstr>Sisa</vt:lpstr>
      <vt:lpstr>Sisa_RKAKL</vt:lpstr>
      <vt:lpstr>start_KWT</vt:lpstr>
      <vt:lpstr>start_KwtDetil</vt:lpstr>
      <vt:lpstr>start_RKAKL</vt:lpstr>
      <vt:lpstr>Start_Transaksi</vt:lpstr>
      <vt:lpstr>supplier_spby</vt:lpstr>
      <vt:lpstr>TA</vt:lpstr>
      <vt:lpstr>terbilang</vt:lpstr>
      <vt:lpstr>terbilang_SPBY</vt:lpstr>
      <vt:lpstr>Tgl_KWT</vt:lpstr>
      <vt:lpstr>tgl_Lunas</vt:lpstr>
      <vt:lpstr>tgl_terima_KWT</vt:lpstr>
      <vt:lpstr>Tot_Kwt</vt:lpstr>
      <vt:lpstr>Uraian</vt:lpstr>
      <vt:lpstr>Cetak_KWT!uraian_KWT</vt:lpstr>
      <vt:lpstr>uraian_SPby</vt:lpstr>
      <vt:lpstr>Vol_Brg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2020-04-11T20:46:44Z</cp:lastPrinted>
  <dcterms:created xsi:type="dcterms:W3CDTF">2019-12-26T06:15:07Z</dcterms:created>
  <dcterms:modified xsi:type="dcterms:W3CDTF">2021-04-23T08:43:56Z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2048bedd-cb28-482e-8929-194bb8b8481b</vt:lpwstr>
  </property>
</Properties>
</file>